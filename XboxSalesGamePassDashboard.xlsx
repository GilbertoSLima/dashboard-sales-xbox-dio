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lli\Documents\SLDesenvolvimentoDeApps\DesafiosDIO\Dashboard Vendas Xbox\"/>
    </mc:Choice>
  </mc:AlternateContent>
  <xr:revisionPtr revIDLastSave="0" documentId="13_ncr:1_{8863CB3D-4C2A-4A6F-B078-DF77D9287822}" xr6:coauthVersionLast="47" xr6:coauthVersionMax="47" xr10:uidLastSave="{00000000-0000-0000-0000-000000000000}"/>
  <bookViews>
    <workbookView xWindow="-108" yWindow="-108" windowWidth="23256" windowHeight="12456" tabRatio="793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3" l="1"/>
  <c r="C41" i="3"/>
  <c r="B31" i="3"/>
  <c r="C24" i="3"/>
  <c r="C16" i="3"/>
  <c r="C8" i="3"/>
</calcChain>
</file>

<file path=xl/sharedStrings.xml><?xml version="1.0" encoding="utf-8"?>
<sst xmlns="http://schemas.openxmlformats.org/spreadsheetml/2006/main" count="2042" uniqueCount="333">
  <si>
    <t>Paleta de Cores</t>
  </si>
  <si>
    <t>Logos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</si>
  <si>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</si>
  <si>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</si>
  <si>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</si>
  <si>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</si>
  <si>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</si>
  <si>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</si>
  <si>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</si>
  <si>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</si>
  <si>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</si>
  <si>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</si>
  <si>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</si>
  <si>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</si>
  <si>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</si>
  <si>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</si>
  <si>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</si>
  <si>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</si>
  <si>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</si>
  <si>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</si>
  <si>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</si>
  <si>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</si>
  <si>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</si>
  <si>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</si>
  <si>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</si>
  <si>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</si>
  <si>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</si>
  <si>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</si>
  <si>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</si>
  <si>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</si>
  <si>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</si>
  <si>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</si>
  <si>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</si>
  <si>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</si>
  <si>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</si>
  <si>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</si>
  <si>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</si>
  <si>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</si>
  <si>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</si>
  <si>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</si>
  <si>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</si>
  <si>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</si>
  <si>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</si>
  <si>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</si>
  <si>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</si>
  <si>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</si>
  <si>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</si>
  <si>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</si>
  <si>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</si>
  <si>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</si>
  <si>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</si>
  <si>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</si>
  <si>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</si>
  <si>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</si>
  <si>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</si>
  <si>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</si>
  <si>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</si>
  <si>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</si>
  <si>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</si>
  <si>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</si>
  <si>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</si>
  <si>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</si>
  <si>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</si>
  <si>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</si>
  <si>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</si>
  <si>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</si>
  <si>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</si>
  <si>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</si>
  <si>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</si>
  <si>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</si>
  <si>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</si>
  <si>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</si>
  <si>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</si>
  <si>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</si>
  <si>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</si>
  <si>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</si>
  <si>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</si>
  <si>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</si>
  <si>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</si>
  <si>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</si>
  <si>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</si>
  <si>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</si>
  <si>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</si>
  <si>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</si>
  <si>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</si>
  <si>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</si>
  <si>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</si>
  <si>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</si>
  <si>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</si>
  <si>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</si>
  <si>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</si>
  <si>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</si>
  <si>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</si>
  <si>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</si>
  <si>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</si>
  <si>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</si>
  <si>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</si>
  <si>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</si>
  <si>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</si>
  <si>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</si>
  <si>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</si>
  <si>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</si>
  <si>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</si>
  <si>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</si>
  <si>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</si>
  <si>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</si>
  <si>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</si>
  <si>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</si>
  <si>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</si>
  <si>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</si>
  <si>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</si>
  <si>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</si>
  <si>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</si>
  <si>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</si>
  <si>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</si>
  <si>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</si>
  <si>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</si>
  <si>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</si>
  <si>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</si>
  <si>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</si>
  <si>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</si>
  <si>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</si>
  <si>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</si>
  <si>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</si>
  <si>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</si>
  <si>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</si>
  <si>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</si>
  <si>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</si>
  <si>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</si>
  <si>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</si>
  <si>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</si>
  <si>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</si>
  <si>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</si>
  <si>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</si>
  <si>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</si>
  <si>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</si>
  <si>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</si>
  <si>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</si>
  <si>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</si>
  <si>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</si>
  <si>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</si>
  <si>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</si>
  <si>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</si>
  <si>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</si>
  <si>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</si>
  <si>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</si>
  <si>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</si>
  <si>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</si>
  <si>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</si>
  <si>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</si>
  <si>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</si>
  <si>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</si>
  <si>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</si>
  <si>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</si>
  <si>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</si>
  <si>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</si>
  <si>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</si>
  <si>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</si>
  <si>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</si>
  <si>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</si>
  <si>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</si>
  <si>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</si>
  <si>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</si>
  <si>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</si>
  <si>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</si>
  <si>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</si>
  <si>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</si>
  <si>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</si>
  <si>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</si>
  <si>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</si>
  <si>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</si>
  <si>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</si>
  <si>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</si>
  <si>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</si>
  <si>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</si>
  <si>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</si>
  <si>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</si>
  <si>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</si>
  <si>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</si>
  <si>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</si>
  <si>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</si>
  <si>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</si>
  <si>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</si>
  <si>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</si>
  <si>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</si>
  <si>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</si>
  <si>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</si>
  <si>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</si>
  <si>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</si>
  <si>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</si>
  <si>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</si>
  <si>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</si>
  <si>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</si>
  <si>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</si>
  <si>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</si>
  <si>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</si>
  <si>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</si>
  <si>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</si>
  <si>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</si>
  <si>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</si>
  <si>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</si>
  <si>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</si>
  <si>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</si>
  <si>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</si>
  <si>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</si>
  <si>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</si>
  <si>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</si>
  <si>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</si>
  <si>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</si>
  <si>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</si>
  <si>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</si>
  <si>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</si>
  <si>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</si>
  <si>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</si>
  <si>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</si>
  <si>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</si>
  <si>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</si>
  <si>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</si>
  <si>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</si>
  <si>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</si>
  <si>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</si>
  <si>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</si>
  <si>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</si>
  <si>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</si>
  <si>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</si>
  <si>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</si>
  <si>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</si>
  <si>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</si>
  <si>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</si>
  <si>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</si>
  <si>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</si>
  <si>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</si>
  <si>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</si>
  <si>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</si>
  <si>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</si>
  <si>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</si>
  <si>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</si>
  <si>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</si>
  <si>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</si>
  <si>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</si>
  <si>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</si>
  <si>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</si>
  <si>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</si>
  <si>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</si>
  <si>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</si>
  <si>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</si>
  <si>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</si>
  <si>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</si>
  <si>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</si>
  <si>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</si>
  <si>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</si>
  <si>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</si>
  <si>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</si>
  <si>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</si>
  <si>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</si>
  <si>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</si>
  <si>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</si>
  <si>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</si>
  <si>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</si>
  <si>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</si>
  <si>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</si>
  <si>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</si>
  <si>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</si>
  <si>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</si>
  <si>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</si>
  <si>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</si>
  <si>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</si>
  <si>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</si>
  <si>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</si>
  <si>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</si>
  <si>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</si>
  <si>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</si>
  <si>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</si>
  <si>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</si>
  <si>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</si>
  <si>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</si>
  <si>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</si>
  <si>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</si>
  <si>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</si>
  <si>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</si>
  <si>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</si>
  <si>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</si>
  <si>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</si>
  <si>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</si>
  <si>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</si>
  <si>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</si>
  <si>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</si>
  <si>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</si>
  <si>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</si>
  <si>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</si>
  <si>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</si>
  <si>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</si>
  <si>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</si>
  <si>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</si>
  <si>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</si>
  <si>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</si>
  <si>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</si>
  <si>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</si>
  <si>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</si>
  <si>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</si>
  <si>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</si>
  <si>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</si>
  <si>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</si>
  <si>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</si>
  <si>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</si>
  <si>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</si>
  <si>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</si>
  <si>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</si>
  <si>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</si>
  <si>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</si>
  <si>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</si>
  <si>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de Vendas</t>
  </si>
  <si>
    <t>Rótulos de Linha</t>
  </si>
  <si>
    <t>Total Geral</t>
  </si>
  <si>
    <t>Soma de Total Value</t>
  </si>
  <si>
    <t>Total de Vendas EA Play Season Pass</t>
  </si>
  <si>
    <t>Total de Vendas Minecraft Season Pass</t>
  </si>
  <si>
    <t>Soma de Minecraft Season Pass Price</t>
  </si>
  <si>
    <t>Soma de EA Play Season Pass</t>
  </si>
  <si>
    <t>Total de Desconto Fornecido</t>
  </si>
  <si>
    <t>Soma de Coupon Value</t>
  </si>
  <si>
    <t>Plano Mais Vendido</t>
  </si>
  <si>
    <t>Subscription Type Mais Contratado</t>
  </si>
  <si>
    <t>Percentual de Cliente com Renovação Automática</t>
  </si>
  <si>
    <t>#E8E6E9</t>
  </si>
  <si>
    <t>#9BC848</t>
  </si>
  <si>
    <t>MENU</t>
  </si>
  <si>
    <t>Referência</t>
  </si>
  <si>
    <t xml:space="preserve"> Referência </t>
  </si>
  <si>
    <t>Contagem de Total Value</t>
  </si>
  <si>
    <t xml:space="preserve"> VENDAS XBOX GAME PASS</t>
  </si>
  <si>
    <t>Contagem de Subscriber ID</t>
  </si>
  <si>
    <t>Período de apuração: 01/01/2024 - 31/12/2024 | Update: 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</si>
</sst>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28"/>
      <color theme="9"/>
      <name val="Aptos Narrow"/>
      <family val="2"/>
      <scheme val="minor"/>
    </font>
    <font>
      <sz val="40"/>
      <color theme="0"/>
      <name val="Aptos Narrow"/>
      <family val="2"/>
      <scheme val="minor"/>
    </font>
    <font>
      <sz val="40"/>
      <color theme="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8E6E9"/>
        <bgColor rgb="FF000000"/>
      </patternFill>
    </fill>
    <fill>
      <patternFill patternType="solid">
        <fgColor rgb="FF9BC848"/>
        <bgColor rgb="FF000000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7" borderId="0" xfId="0" applyFill="1" applyBorder="1"/>
    <xf numFmtId="0" fontId="5" fillId="7" borderId="2" xfId="0" applyFont="1" applyFill="1" applyBorder="1"/>
    <xf numFmtId="0" fontId="3" fillId="7" borderId="2" xfId="0" applyFont="1" applyFill="1" applyBorder="1"/>
    <xf numFmtId="0" fontId="0" fillId="0" borderId="0" xfId="0" pivotButton="1"/>
    <xf numFmtId="0" fontId="5" fillId="7" borderId="0" xfId="0" applyFont="1" applyFill="1" applyBorder="1"/>
    <xf numFmtId="0" fontId="3" fillId="7" borderId="0" xfId="0" applyFont="1" applyFill="1" applyBorder="1"/>
    <xf numFmtId="44" fontId="0" fillId="0" borderId="0" xfId="0" applyNumberFormat="1"/>
    <xf numFmtId="0" fontId="0" fillId="0" borderId="0" xfId="0" applyAlignment="1">
      <alignment horizontal="left"/>
    </xf>
    <xf numFmtId="0" fontId="6" fillId="8" borderId="2" xfId="0" applyFont="1" applyFill="1" applyBorder="1"/>
    <xf numFmtId="0" fontId="7" fillId="8" borderId="2" xfId="0" applyFont="1" applyFill="1" applyBorder="1"/>
    <xf numFmtId="0" fontId="0" fillId="0" borderId="0" xfId="0" applyNumberFormat="1"/>
    <xf numFmtId="10" fontId="0" fillId="0" borderId="0" xfId="0" applyNumberFormat="1"/>
    <xf numFmtId="44" fontId="0" fillId="7" borderId="0" xfId="2" applyFont="1" applyFill="1"/>
    <xf numFmtId="44" fontId="0" fillId="3" borderId="0" xfId="2" applyFont="1" applyFill="1"/>
    <xf numFmtId="44" fontId="3" fillId="7" borderId="2" xfId="2" applyFont="1" applyFill="1" applyBorder="1"/>
    <xf numFmtId="44" fontId="3" fillId="7" borderId="0" xfId="2" applyFont="1" applyFill="1" applyBorder="1"/>
    <xf numFmtId="44" fontId="7" fillId="8" borderId="2" xfId="2" applyFont="1" applyFill="1" applyBorder="1"/>
    <xf numFmtId="44" fontId="8" fillId="9" borderId="0" xfId="0" applyNumberFormat="1" applyFont="1" applyFill="1"/>
    <xf numFmtId="9" fontId="8" fillId="9" borderId="0" xfId="3" applyFont="1" applyFill="1"/>
    <xf numFmtId="0" fontId="4" fillId="10" borderId="0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0" xfId="0" applyFill="1"/>
    <xf numFmtId="0" fontId="0" fillId="7" borderId="2" xfId="0" applyFill="1" applyBorder="1"/>
    <xf numFmtId="0" fontId="9" fillId="7" borderId="2" xfId="0" applyFont="1" applyFill="1" applyBorder="1" applyAlignment="1">
      <alignment vertical="center"/>
    </xf>
    <xf numFmtId="0" fontId="10" fillId="10" borderId="0" xfId="0" applyFont="1" applyFill="1" applyBorder="1" applyAlignment="1">
      <alignment horizontal="left" vertical="center"/>
    </xf>
    <xf numFmtId="0" fontId="0" fillId="7" borderId="2" xfId="0" applyFill="1" applyBorder="1" applyAlignment="1">
      <alignment vertical="center"/>
    </xf>
    <xf numFmtId="0" fontId="0" fillId="7" borderId="2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6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z val="14"/>
        <color theme="0"/>
      </font>
      <border>
        <bottom style="thin">
          <color theme="6"/>
        </bottom>
        <vertical/>
        <horizontal/>
      </border>
    </dxf>
    <dxf>
      <font>
        <b/>
        <i val="0"/>
        <color theme="0"/>
      </font>
      <fill>
        <patternFill>
          <bgColor theme="6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4EAABBDB-BAD8-4153-AC0C-89F829BB19DB}">
      <tableStyleElement type="wholeTable" dxfId="13"/>
      <tableStyleElement type="headerRow" dxfId="12"/>
    </tableStyle>
  </tableStyles>
  <colors>
    <mruColors>
      <color rgb="FF22C55E"/>
      <color rgb="FF2AE6B1"/>
      <color rgb="FF5BF6A8"/>
      <color rgb="FFE8E6E9"/>
      <color rgb="FF9BC84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[XboxSalesGamePassDashboard.xlsx]C̳álculos!tbl_renovacao_automatica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800"/>
              <a:t>Auto Renewal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4.8542817249288767E-3"/>
              <c:y val="-1.0731683922240084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wrap="square" lIns="38100" tIns="19050" rIns="38100" bIns="19050" anchor="t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</c:pivotFmt>
      <c:pivotFmt>
        <c:idx val="7"/>
        <c:spPr>
          <a:solidFill>
            <a:schemeClr val="tx2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239-4B07-974D-09C9FEF7A2B7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39-4B07-974D-09C9FEF7A2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wrap="square" lIns="38100" tIns="19050" rIns="38100" bIns="19050" anchor="t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C̳álculos!$A$58:$A$60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C̳álculos!$B$58:$B$60</c:f>
              <c:numCache>
                <c:formatCode>0.00%</c:formatCode>
                <c:ptCount val="2"/>
                <c:pt idx="0">
                  <c:v>0.15492957746478872</c:v>
                </c:pt>
                <c:pt idx="1">
                  <c:v>0.84507042253521125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39-4B07-974D-09C9FEF7A2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518285848661886"/>
          <c:y val="0.85703663980848566"/>
          <c:w val="0.33205421467815383"/>
          <c:h val="0.1084798993553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[XboxSalesGamePassDashboard.xlsx]C̳álculos!tbl_plano_mais_vendido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Planos Mais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C̳álculos!$A$38:$A$41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C̳álculos!$B$38:$B$41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C-4CE3-B0A0-B3B00A066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4110928"/>
        <c:axId val="1234126768"/>
      </c:barChart>
      <c:catAx>
        <c:axId val="123411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4126768"/>
        <c:crosses val="autoZero"/>
        <c:auto val="1"/>
        <c:lblAlgn val="ctr"/>
        <c:lblOffset val="100"/>
        <c:noMultiLvlLbl val="0"/>
      </c:catAx>
      <c:valAx>
        <c:axId val="123412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411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[XboxSalesGamePassDashboard.xlsx]C̳álculos!tbl_desconto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Desconto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C̳álculos!$A$30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C̳álculos!$A$31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C̳álculos!$A$31</c:f>
              <c:numCache>
                <c:formatCode>_("R$"* #,##0.00_);_("R$"* \(#,##0.00\);_("R$"* "-"??_);_(@_)</c:formatCode>
                <c:ptCount val="1"/>
                <c:pt idx="0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3-48EE-B286-358ED2B7B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979024"/>
        <c:axId val="1826984784"/>
      </c:barChart>
      <c:catAx>
        <c:axId val="1826979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6984784"/>
        <c:crosses val="autoZero"/>
        <c:auto val="1"/>
        <c:lblAlgn val="ctr"/>
        <c:lblOffset val="100"/>
        <c:noMultiLvlLbl val="0"/>
      </c:catAx>
      <c:valAx>
        <c:axId val="1826984784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shade val="15000"/>
                  <a:alpha val="98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697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[XboxSalesGamePassDashboard.xlsx]C̳álculos!tbl_periodo_mais_contratado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Type Mais Contratado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C̳álculos!$A$48:$A$51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C̳álculos!$B$48:$B$51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A-465C-826C-E8EDA63EA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3787776"/>
        <c:axId val="1293779616"/>
      </c:barChart>
      <c:catAx>
        <c:axId val="129378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3779616"/>
        <c:crosses val="autoZero"/>
        <c:auto val="1"/>
        <c:lblAlgn val="ctr"/>
        <c:lblOffset val="100"/>
        <c:noMultiLvlLbl val="0"/>
      </c:catAx>
      <c:valAx>
        <c:axId val="12937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37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492882"/>
          <a:ext cx="1500597" cy="43700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26894</xdr:colOff>
      <xdr:row>1</xdr:row>
      <xdr:rowOff>112799</xdr:rowOff>
    </xdr:from>
    <xdr:to>
      <xdr:col>3</xdr:col>
      <xdr:colOff>1541929</xdr:colOff>
      <xdr:row>10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C25C086A-88C6-4A86-8758-3894B31DF4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94" y="682109"/>
              <a:ext cx="2785035" cy="1703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491788</xdr:colOff>
      <xdr:row>11</xdr:row>
      <xdr:rowOff>43263</xdr:rowOff>
    </xdr:from>
    <xdr:to>
      <xdr:col>23</xdr:col>
      <xdr:colOff>733</xdr:colOff>
      <xdr:row>30</xdr:row>
      <xdr:rowOff>21770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0BBF85F-EEFF-4446-A330-8C2336669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72914</xdr:colOff>
      <xdr:row>0</xdr:row>
      <xdr:rowOff>88917</xdr:rowOff>
    </xdr:from>
    <xdr:to>
      <xdr:col>4</xdr:col>
      <xdr:colOff>558863</xdr:colOff>
      <xdr:row>0</xdr:row>
      <xdr:rowOff>530204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BC9EEE50-FF59-4134-9FA1-7BCFF42B3E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7260"/>
        <a:stretch>
          <a:fillRect/>
        </a:stretch>
      </xdr:blipFill>
      <xdr:spPr>
        <a:xfrm>
          <a:off x="2986443" y="88917"/>
          <a:ext cx="485949" cy="441287"/>
        </a:xfrm>
        <a:prstGeom prst="rect">
          <a:avLst/>
        </a:prstGeom>
      </xdr:spPr>
    </xdr:pic>
    <xdr:clientData/>
  </xdr:twoCellAnchor>
  <xdr:twoCellAnchor editAs="absolute">
    <xdr:from>
      <xdr:col>4</xdr:col>
      <xdr:colOff>10886</xdr:colOff>
      <xdr:row>1</xdr:row>
      <xdr:rowOff>105591</xdr:rowOff>
    </xdr:from>
    <xdr:to>
      <xdr:col>9</xdr:col>
      <xdr:colOff>65315</xdr:colOff>
      <xdr:row>10</xdr:row>
      <xdr:rowOff>166551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E9BEC873-EA06-C0E5-F0C9-63E4E3E9BF7E}"/>
            </a:ext>
          </a:extLst>
        </xdr:cNvPr>
        <xdr:cNvGrpSpPr/>
      </xdr:nvGrpSpPr>
      <xdr:grpSpPr>
        <a:xfrm>
          <a:off x="2936265" y="674901"/>
          <a:ext cx="3119947" cy="1725098"/>
          <a:chOff x="2301241" y="617220"/>
          <a:chExt cx="3086099" cy="1714500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783A9D2F-5BBD-8EE2-F3E6-804E78FD09EB}"/>
              </a:ext>
            </a:extLst>
          </xdr:cNvPr>
          <xdr:cNvSpPr/>
        </xdr:nvSpPr>
        <xdr:spPr>
          <a:xfrm>
            <a:off x="2301241" y="624840"/>
            <a:ext cx="3086099" cy="170688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sp macro="" textlink="C̳álculos!C8">
        <xdr:nvSpPr>
          <xdr:cNvPr id="12" name="Retângulo 11">
            <a:extLst>
              <a:ext uri="{FF2B5EF4-FFF2-40B4-BE49-F238E27FC236}">
                <a16:creationId xmlns:a16="http://schemas.microsoft.com/office/drawing/2014/main" id="{815DAC87-EE05-6245-0588-1809E065C9CB}"/>
              </a:ext>
            </a:extLst>
          </xdr:cNvPr>
          <xdr:cNvSpPr/>
        </xdr:nvSpPr>
        <xdr:spPr>
          <a:xfrm>
            <a:off x="2354543" y="1354187"/>
            <a:ext cx="2926192" cy="642721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bIns="90000" rtlCol="0" anchor="t"/>
          <a:lstStyle/>
          <a:p>
            <a:pPr algn="l"/>
            <a:fld id="{516545DE-E154-4589-B962-7572515EEEEB}" type="TxLink">
              <a:rPr lang="en-US" sz="4000" b="0" i="0" u="none" strike="noStrike">
                <a:solidFill>
                  <a:schemeClr val="bg1"/>
                </a:solidFill>
                <a:latin typeface="Aptos Narrow"/>
              </a:rPr>
              <a:t> R$ 1.754,00 </a:t>
            </a:fld>
            <a:endParaRPr lang="pt-BR" sz="4000">
              <a:solidFill>
                <a:schemeClr val="bg1"/>
              </a:solidFill>
            </a:endParaRPr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955FF016-ECE9-D460-422F-5BCAC8A0D6B3}"/>
              </a:ext>
            </a:extLst>
          </xdr:cNvPr>
          <xdr:cNvSpPr/>
        </xdr:nvSpPr>
        <xdr:spPr>
          <a:xfrm>
            <a:off x="2308860" y="617220"/>
            <a:ext cx="3078480" cy="434340"/>
          </a:xfrm>
          <a:prstGeom prst="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Total</a:t>
            </a:r>
            <a:r>
              <a:rPr lang="pt-BR" sz="1600" b="1" baseline="0">
                <a:solidFill>
                  <a:schemeClr val="bg1"/>
                </a:solidFill>
              </a:rPr>
              <a:t> de Vendas Xbox Game Pass</a:t>
            </a:r>
            <a:endParaRPr lang="pt-BR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9</xdr:col>
      <xdr:colOff>129542</xdr:colOff>
      <xdr:row>1</xdr:row>
      <xdr:rowOff>102326</xdr:rowOff>
    </xdr:from>
    <xdr:to>
      <xdr:col>16</xdr:col>
      <xdr:colOff>182881</xdr:colOff>
      <xdr:row>10</xdr:row>
      <xdr:rowOff>163286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6EC48624-F1A6-D1FA-AA0A-94CAAF61B552}"/>
            </a:ext>
          </a:extLst>
        </xdr:cNvPr>
        <xdr:cNvGrpSpPr/>
      </xdr:nvGrpSpPr>
      <xdr:grpSpPr>
        <a:xfrm>
          <a:off x="6120439" y="671636"/>
          <a:ext cx="4178649" cy="1725098"/>
          <a:chOff x="4853940" y="350520"/>
          <a:chExt cx="4160520" cy="1722120"/>
        </a:xfrm>
      </xdr:grpSpPr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8675E793-B463-683B-5DA5-E96DB2302824}"/>
              </a:ext>
            </a:extLst>
          </xdr:cNvPr>
          <xdr:cNvSpPr/>
        </xdr:nvSpPr>
        <xdr:spPr>
          <a:xfrm>
            <a:off x="4853941" y="365760"/>
            <a:ext cx="4160519" cy="170688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sp macro="" textlink="C̳álculos!C16">
        <xdr:nvSpPr>
          <xdr:cNvPr id="29" name="Retângulo 28">
            <a:extLst>
              <a:ext uri="{FF2B5EF4-FFF2-40B4-BE49-F238E27FC236}">
                <a16:creationId xmlns:a16="http://schemas.microsoft.com/office/drawing/2014/main" id="{39AD70F8-3BC8-5120-B8BC-890EAB4951EB}"/>
              </a:ext>
            </a:extLst>
          </xdr:cNvPr>
          <xdr:cNvSpPr/>
        </xdr:nvSpPr>
        <xdr:spPr>
          <a:xfrm>
            <a:off x="6099611" y="1052510"/>
            <a:ext cx="2821778" cy="642721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bIns="90000" rtlCol="0" anchor="t"/>
          <a:lstStyle/>
          <a:p>
            <a:pPr algn="l"/>
            <a:fld id="{1A39DBD6-3BEB-4AC6-9537-7BCDED46D169}" type="TxLink">
              <a:rPr lang="en-US" sz="4000" b="0" i="0" u="none" strike="noStrike">
                <a:solidFill>
                  <a:schemeClr val="bg1"/>
                </a:solidFill>
                <a:latin typeface="Aptos Narrow"/>
              </a:rPr>
              <a:t> R$ 600,00 </a:t>
            </a:fld>
            <a:endParaRPr lang="pt-BR" sz="4000">
              <a:solidFill>
                <a:schemeClr val="bg1"/>
              </a:solidFill>
            </a:endParaRPr>
          </a:p>
        </xdr:txBody>
      </xdr:sp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6ABDB4A1-CA97-F74D-1C9B-9F0C6A4EC8F1}"/>
              </a:ext>
            </a:extLst>
          </xdr:cNvPr>
          <xdr:cNvSpPr/>
        </xdr:nvSpPr>
        <xdr:spPr>
          <a:xfrm>
            <a:off x="4853940" y="350520"/>
            <a:ext cx="4152900" cy="434340"/>
          </a:xfrm>
          <a:prstGeom prst="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Total</a:t>
            </a:r>
            <a:r>
              <a:rPr lang="pt-BR" sz="1600" b="1" baseline="0">
                <a:solidFill>
                  <a:schemeClr val="bg1"/>
                </a:solidFill>
              </a:rPr>
              <a:t> de Vendas EA Play</a:t>
            </a:r>
            <a:endParaRPr lang="pt-BR" sz="1600" b="1">
              <a:solidFill>
                <a:schemeClr val="bg1"/>
              </a:solidFill>
            </a:endParaRPr>
          </a:p>
        </xdr:txBody>
      </xdr: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60A342FD-D462-45E2-B4F7-7EECC4D272A5}"/>
              </a:ext>
            </a:extLst>
          </xdr:cNvPr>
          <xdr:cNvPicPr preferRelativeResize="0">
            <a:picLocks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8658" b="32629"/>
          <a:stretch>
            <a:fillRect/>
          </a:stretch>
        </xdr:blipFill>
        <xdr:spPr>
          <a:xfrm>
            <a:off x="4858628" y="1115647"/>
            <a:ext cx="1219200" cy="540203"/>
          </a:xfrm>
          <a:prstGeom prst="rect">
            <a:avLst/>
          </a:prstGeom>
        </xdr:spPr>
      </xdr:pic>
    </xdr:grpSp>
    <xdr:clientData/>
  </xdr:twoCellAnchor>
  <xdr:twoCellAnchor editAs="absolute">
    <xdr:from>
      <xdr:col>16</xdr:col>
      <xdr:colOff>250371</xdr:colOff>
      <xdr:row>1</xdr:row>
      <xdr:rowOff>97972</xdr:rowOff>
    </xdr:from>
    <xdr:to>
      <xdr:col>22</xdr:col>
      <xdr:colOff>805478</xdr:colOff>
      <xdr:row>10</xdr:row>
      <xdr:rowOff>158932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619A4985-1957-5A9D-441C-121166981E0B}"/>
            </a:ext>
          </a:extLst>
        </xdr:cNvPr>
        <xdr:cNvGrpSpPr/>
      </xdr:nvGrpSpPr>
      <xdr:grpSpPr>
        <a:xfrm>
          <a:off x="10366578" y="667282"/>
          <a:ext cx="4233728" cy="1725098"/>
          <a:chOff x="9024257" y="348343"/>
          <a:chExt cx="4157254" cy="1737360"/>
        </a:xfrm>
      </xdr:grpSpPr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E9B81C2D-5E02-3E46-D106-D36476450E41}"/>
              </a:ext>
            </a:extLst>
          </xdr:cNvPr>
          <xdr:cNvSpPr/>
        </xdr:nvSpPr>
        <xdr:spPr>
          <a:xfrm>
            <a:off x="9024258" y="363718"/>
            <a:ext cx="4157253" cy="172198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sp macro="" textlink="C̳álculos!C24">
        <xdr:nvSpPr>
          <xdr:cNvPr id="37" name="Retângulo 36">
            <a:extLst>
              <a:ext uri="{FF2B5EF4-FFF2-40B4-BE49-F238E27FC236}">
                <a16:creationId xmlns:a16="http://schemas.microsoft.com/office/drawing/2014/main" id="{E646C0B8-3F8B-6808-EFF4-4EBF264DF277}"/>
              </a:ext>
            </a:extLst>
          </xdr:cNvPr>
          <xdr:cNvSpPr/>
        </xdr:nvSpPr>
        <xdr:spPr>
          <a:xfrm>
            <a:off x="10301607" y="1056545"/>
            <a:ext cx="2819563" cy="648409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bIns="90000" rtlCol="0" anchor="t"/>
          <a:lstStyle/>
          <a:p>
            <a:pPr algn="l"/>
            <a:fld id="{27E6D7BA-38C9-49DD-9E26-94BF3DB00C2A}" type="TxLink">
              <a:rPr lang="en-US" sz="4000" b="0" i="0" u="none" strike="noStrike">
                <a:solidFill>
                  <a:schemeClr val="bg1"/>
                </a:solidFill>
                <a:latin typeface="Aptos Narrow"/>
              </a:rPr>
              <a:t> R$ 940,00 </a:t>
            </a:fld>
            <a:endParaRPr lang="pt-BR" sz="4000">
              <a:solidFill>
                <a:schemeClr val="bg1"/>
              </a:solidFill>
            </a:endParaRPr>
          </a:p>
        </xdr:txBody>
      </xdr:sp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21EEF032-775D-AB00-48F3-C380EBE0CAAC}"/>
              </a:ext>
            </a:extLst>
          </xdr:cNvPr>
          <xdr:cNvSpPr/>
        </xdr:nvSpPr>
        <xdr:spPr>
          <a:xfrm>
            <a:off x="9024257" y="348343"/>
            <a:ext cx="4149640" cy="438184"/>
          </a:xfrm>
          <a:prstGeom prst="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Total</a:t>
            </a:r>
            <a:r>
              <a:rPr lang="pt-BR" sz="1600" b="1" baseline="0">
                <a:solidFill>
                  <a:schemeClr val="bg1"/>
                </a:solidFill>
              </a:rPr>
              <a:t> de Vendas Minecraft</a:t>
            </a:r>
            <a:endParaRPr lang="pt-BR" sz="1600" b="1">
              <a:solidFill>
                <a:schemeClr val="bg1"/>
              </a:solidFill>
            </a:endParaRPr>
          </a:p>
        </xdr:txBody>
      </xdr:sp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9388DD7F-5B45-49E4-8421-EF143FEC86D0}"/>
              </a:ext>
            </a:extLst>
          </xdr:cNvPr>
          <xdr:cNvGrpSpPr/>
        </xdr:nvGrpSpPr>
        <xdr:grpSpPr>
          <a:xfrm>
            <a:off x="9046028" y="979715"/>
            <a:ext cx="1219200" cy="674914"/>
            <a:chOff x="3495675" y="5400674"/>
            <a:chExt cx="1549476" cy="752476"/>
          </a:xfrm>
        </xdr:grpSpPr>
        <xdr:pic>
          <xdr:nvPicPr>
            <xdr:cNvPr id="41" name="Imagem 40">
              <a:extLst>
                <a:ext uri="{FF2B5EF4-FFF2-40B4-BE49-F238E27FC236}">
                  <a16:creationId xmlns:a16="http://schemas.microsoft.com/office/drawing/2014/main" id="{4B78D4BB-1743-1F98-155D-E54C7B582C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2" name="Gráfico 41">
              <a:extLst>
                <a:ext uri="{FF2B5EF4-FFF2-40B4-BE49-F238E27FC236}">
                  <a16:creationId xmlns:a16="http://schemas.microsoft.com/office/drawing/2014/main" id="{E3C2BC86-2341-B815-131B-77CF0960B4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76201</xdr:colOff>
      <xdr:row>11</xdr:row>
      <xdr:rowOff>43542</xdr:rowOff>
    </xdr:from>
    <xdr:to>
      <xdr:col>15</xdr:col>
      <xdr:colOff>446313</xdr:colOff>
      <xdr:row>30</xdr:row>
      <xdr:rowOff>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EB781AAD-1E5A-48A7-AA76-8869CE009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15</xdr:col>
      <xdr:colOff>484093</xdr:colOff>
      <xdr:row>30</xdr:row>
      <xdr:rowOff>8964</xdr:rowOff>
    </xdr:from>
    <xdr:to>
      <xdr:col>23</xdr:col>
      <xdr:colOff>7620</xdr:colOff>
      <xdr:row>41</xdr:row>
      <xdr:rowOff>17928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506B2B1-955C-4158-97C8-CE415D708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4</xdr:col>
      <xdr:colOff>83127</xdr:colOff>
      <xdr:row>30</xdr:row>
      <xdr:rowOff>0</xdr:rowOff>
    </xdr:from>
    <xdr:to>
      <xdr:col>15</xdr:col>
      <xdr:colOff>415636</xdr:colOff>
      <xdr:row>41</xdr:row>
      <xdr:rowOff>69272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FB51B96-D2B2-496E-8A0D-5051EB38F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berto Lima" refreshedDate="46104.397361226853" createdVersion="8" refreshedVersion="8" minRefreshableVersion="3" recordCount="295" xr:uid="{6D7AF281-4546-411E-9669-402466F697D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447956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n v="30"/>
    <x v="0"/>
    <n v="20"/>
    <n v="5"/>
    <n v="60"/>
  </r>
  <r>
    <n v="3232"/>
    <s v="Maria Oliveira"/>
    <x v="1"/>
    <d v="2024-01-15T00:00:00"/>
    <x v="1"/>
    <n v="5"/>
    <x v="1"/>
    <x v="1"/>
    <s v="-"/>
    <x v="1"/>
    <n v="0"/>
    <n v="0"/>
    <n v="5"/>
  </r>
  <r>
    <n v="3233"/>
    <s v="Lucas Fernandes"/>
    <x v="2"/>
    <d v="2024-02-10T00:00:00"/>
    <x v="0"/>
    <n v="10"/>
    <x v="2"/>
    <x v="1"/>
    <s v="-"/>
    <x v="0"/>
    <n v="20"/>
    <n v="10"/>
    <n v="20"/>
  </r>
  <r>
    <n v="3234"/>
    <s v="Ana Souza"/>
    <x v="0"/>
    <d v="2024-02-20T00:00:00"/>
    <x v="1"/>
    <n v="15"/>
    <x v="0"/>
    <x v="0"/>
    <n v="30"/>
    <x v="0"/>
    <n v="20"/>
    <n v="3"/>
    <n v="62"/>
  </r>
  <r>
    <n v="3235"/>
    <s v="Pedro Gonçalves"/>
    <x v="1"/>
    <d v="2024-03-05T00:00:00"/>
    <x v="0"/>
    <n v="5"/>
    <x v="0"/>
    <x v="1"/>
    <s v="-"/>
    <x v="1"/>
    <n v="0"/>
    <n v="1"/>
    <n v="4"/>
  </r>
  <r>
    <n v="3236"/>
    <s v="Felipe Costa"/>
    <x v="2"/>
    <d v="2024-03-02T00:00:00"/>
    <x v="1"/>
    <n v="10"/>
    <x v="0"/>
    <x v="1"/>
    <s v="-"/>
    <x v="0"/>
    <n v="20"/>
    <n v="2"/>
    <n v="28"/>
  </r>
  <r>
    <n v="3237"/>
    <s v="Camila Ribeiro"/>
    <x v="0"/>
    <d v="2024-03-03T00:00:00"/>
    <x v="0"/>
    <n v="15"/>
    <x v="2"/>
    <x v="0"/>
    <n v="30"/>
    <x v="0"/>
    <n v="20"/>
    <n v="10"/>
    <n v="55"/>
  </r>
  <r>
    <n v="3238"/>
    <s v="André Mendes"/>
    <x v="1"/>
    <d v="2024-03-04T00:00:00"/>
    <x v="0"/>
    <n v="5"/>
    <x v="1"/>
    <x v="1"/>
    <s v="-"/>
    <x v="1"/>
    <n v="0"/>
    <n v="0"/>
    <n v="5"/>
  </r>
  <r>
    <n v="3239"/>
    <s v="Sofia Almeida"/>
    <x v="0"/>
    <d v="2024-03-05T00:00:00"/>
    <x v="1"/>
    <n v="15"/>
    <x v="0"/>
    <x v="0"/>
    <n v="30"/>
    <x v="0"/>
    <n v="20"/>
    <n v="5"/>
    <n v="60"/>
  </r>
  <r>
    <n v="3240"/>
    <s v="Bruno Martins"/>
    <x v="2"/>
    <d v="2024-03-06T00:00:00"/>
    <x v="0"/>
    <n v="10"/>
    <x v="2"/>
    <x v="1"/>
    <s v="-"/>
    <x v="0"/>
    <n v="20"/>
    <n v="15"/>
    <n v="15"/>
  </r>
  <r>
    <n v="3241"/>
    <s v="Rita Castro"/>
    <x v="1"/>
    <d v="2024-03-07T00:00:00"/>
    <x v="1"/>
    <n v="5"/>
    <x v="0"/>
    <x v="1"/>
    <s v="-"/>
    <x v="1"/>
    <n v="0"/>
    <n v="1"/>
    <n v="4"/>
  </r>
  <r>
    <n v="3242"/>
    <s v="Marco Túlio"/>
    <x v="0"/>
    <d v="2024-03-08T00:00:00"/>
    <x v="0"/>
    <n v="15"/>
    <x v="1"/>
    <x v="0"/>
    <n v="30"/>
    <x v="0"/>
    <n v="20"/>
    <n v="20"/>
    <n v="45"/>
  </r>
  <r>
    <n v="3243"/>
    <s v="Lívia Silveira"/>
    <x v="2"/>
    <d v="2024-03-09T00:00:00"/>
    <x v="1"/>
    <n v="10"/>
    <x v="0"/>
    <x v="1"/>
    <s v="-"/>
    <x v="0"/>
    <n v="20"/>
    <n v="10"/>
    <n v="20"/>
  </r>
  <r>
    <n v="3244"/>
    <s v="Diogo Sousa"/>
    <x v="1"/>
    <d v="2024-03-10T00:00:00"/>
    <x v="0"/>
    <n v="5"/>
    <x v="2"/>
    <x v="1"/>
    <s v="-"/>
    <x v="1"/>
    <n v="0"/>
    <n v="0"/>
    <n v="5"/>
  </r>
  <r>
    <n v="3245"/>
    <s v="Fernanda Lima"/>
    <x v="0"/>
    <d v="2024-03-11T00:00:00"/>
    <x v="1"/>
    <n v="15"/>
    <x v="0"/>
    <x v="0"/>
    <n v="30"/>
    <x v="0"/>
    <n v="20"/>
    <n v="8"/>
    <n v="57"/>
  </r>
  <r>
    <n v="3246"/>
    <s v="Caio Pereira"/>
    <x v="2"/>
    <d v="2024-03-12T00:00:00"/>
    <x v="0"/>
    <n v="10"/>
    <x v="1"/>
    <x v="1"/>
    <s v="-"/>
    <x v="0"/>
    <n v="20"/>
    <n v="12"/>
    <n v="18"/>
  </r>
  <r>
    <n v="3247"/>
    <s v="Beatriz Gomes"/>
    <x v="1"/>
    <d v="2024-03-13T00:00:00"/>
    <x v="1"/>
    <n v="5"/>
    <x v="0"/>
    <x v="1"/>
    <s v="-"/>
    <x v="1"/>
    <n v="0"/>
    <n v="2"/>
    <n v="3"/>
  </r>
  <r>
    <n v="3248"/>
    <s v="Cesar Oliveira"/>
    <x v="0"/>
    <d v="2024-03-14T00:00:00"/>
    <x v="0"/>
    <n v="15"/>
    <x v="2"/>
    <x v="0"/>
    <n v="30"/>
    <x v="0"/>
    <n v="20"/>
    <n v="7"/>
    <n v="58"/>
  </r>
  <r>
    <n v="3249"/>
    <s v="Débora Machado"/>
    <x v="2"/>
    <d v="2024-03-15T00:00:00"/>
    <x v="1"/>
    <n v="10"/>
    <x v="0"/>
    <x v="1"/>
    <s v="-"/>
    <x v="0"/>
    <n v="20"/>
    <n v="5"/>
    <n v="25"/>
  </r>
  <r>
    <n v="3250"/>
    <s v="Eduardo Vargas"/>
    <x v="1"/>
    <d v="2024-03-16T00:00:00"/>
    <x v="0"/>
    <n v="5"/>
    <x v="1"/>
    <x v="1"/>
    <s v="-"/>
    <x v="1"/>
    <n v="0"/>
    <n v="0"/>
    <n v="5"/>
  </r>
  <r>
    <n v="3251"/>
    <s v="Gabriela Santos"/>
    <x v="0"/>
    <d v="2024-03-17T00:00:00"/>
    <x v="1"/>
    <n v="15"/>
    <x v="0"/>
    <x v="0"/>
    <n v="30"/>
    <x v="0"/>
    <n v="20"/>
    <n v="3"/>
    <n v="62"/>
  </r>
  <r>
    <n v="3252"/>
    <s v="Henrique Dias"/>
    <x v="2"/>
    <d v="2024-03-18T00:00:00"/>
    <x v="0"/>
    <n v="10"/>
    <x v="2"/>
    <x v="1"/>
    <s v="-"/>
    <x v="0"/>
    <n v="20"/>
    <n v="15"/>
    <n v="15"/>
  </r>
  <r>
    <n v="3253"/>
    <s v="Isabela Moreira"/>
    <x v="1"/>
    <d v="2024-03-19T00:00:00"/>
    <x v="1"/>
    <n v="5"/>
    <x v="0"/>
    <x v="1"/>
    <s v="-"/>
    <x v="1"/>
    <n v="0"/>
    <n v="1"/>
    <n v="4"/>
  </r>
  <r>
    <n v="3254"/>
    <s v="Joaquim Barbosa"/>
    <x v="0"/>
    <d v="2024-03-20T00:00:00"/>
    <x v="0"/>
    <n v="15"/>
    <x v="1"/>
    <x v="0"/>
    <n v="30"/>
    <x v="0"/>
    <n v="20"/>
    <n v="20"/>
    <n v="45"/>
  </r>
  <r>
    <n v="3255"/>
    <s v="Lara Rocha"/>
    <x v="2"/>
    <d v="2024-03-21T00:00:00"/>
    <x v="1"/>
    <n v="10"/>
    <x v="0"/>
    <x v="1"/>
    <s v="-"/>
    <x v="0"/>
    <n v="20"/>
    <n v="10"/>
    <n v="20"/>
  </r>
  <r>
    <n v="3256"/>
    <s v="Matheus Silva"/>
    <x v="1"/>
    <d v="2024-03-22T00:00:00"/>
    <x v="0"/>
    <n v="5"/>
    <x v="2"/>
    <x v="1"/>
    <s v="-"/>
    <x v="1"/>
    <n v="0"/>
    <n v="0"/>
    <n v="5"/>
  </r>
  <r>
    <n v="3257"/>
    <s v="Nicole Costa"/>
    <x v="0"/>
    <d v="2024-03-23T00:00:00"/>
    <x v="1"/>
    <n v="15"/>
    <x v="0"/>
    <x v="0"/>
    <n v="30"/>
    <x v="0"/>
    <n v="20"/>
    <n v="5"/>
    <n v="60"/>
  </r>
  <r>
    <n v="3258"/>
    <s v="Otávio Mendonça"/>
    <x v="2"/>
    <d v="2024-03-24T00:00:00"/>
    <x v="0"/>
    <n v="10"/>
    <x v="1"/>
    <x v="1"/>
    <s v="-"/>
    <x v="0"/>
    <n v="20"/>
    <n v="15"/>
    <n v="15"/>
  </r>
  <r>
    <n v="3259"/>
    <s v="Paula Ferreira"/>
    <x v="1"/>
    <d v="2024-03-25T00:00:00"/>
    <x v="1"/>
    <n v="5"/>
    <x v="0"/>
    <x v="1"/>
    <s v="-"/>
    <x v="1"/>
    <n v="0"/>
    <n v="1"/>
    <n v="4"/>
  </r>
  <r>
    <n v="3260"/>
    <s v="Raquel Alves"/>
    <x v="0"/>
    <d v="2024-03-26T00:00:00"/>
    <x v="0"/>
    <n v="15"/>
    <x v="2"/>
    <x v="0"/>
    <n v="30"/>
    <x v="0"/>
    <n v="20"/>
    <n v="7"/>
    <n v="58"/>
  </r>
  <r>
    <n v="3261"/>
    <s v="Samuel Pires"/>
    <x v="2"/>
    <d v="2024-03-27T00:00:00"/>
    <x v="1"/>
    <n v="10"/>
    <x v="0"/>
    <x v="1"/>
    <s v="-"/>
    <x v="0"/>
    <n v="20"/>
    <n v="10"/>
    <n v="20"/>
  </r>
  <r>
    <n v="3262"/>
    <s v="Tânia Barros"/>
    <x v="1"/>
    <d v="2024-03-28T00:00:00"/>
    <x v="0"/>
    <n v="5"/>
    <x v="1"/>
    <x v="1"/>
    <s v="-"/>
    <x v="1"/>
    <n v="0"/>
    <n v="0"/>
    <n v="5"/>
  </r>
  <r>
    <n v="3263"/>
    <s v="Vinicius Lima"/>
    <x v="0"/>
    <d v="2024-03-29T00:00:00"/>
    <x v="1"/>
    <n v="15"/>
    <x v="0"/>
    <x v="0"/>
    <n v="30"/>
    <x v="0"/>
    <n v="20"/>
    <n v="3"/>
    <n v="62"/>
  </r>
  <r>
    <n v="3264"/>
    <s v="Yasmin Teixeira"/>
    <x v="2"/>
    <d v="2024-03-30T00:00:00"/>
    <x v="0"/>
    <n v="10"/>
    <x v="2"/>
    <x v="1"/>
    <s v="-"/>
    <x v="0"/>
    <n v="20"/>
    <n v="15"/>
    <n v="15"/>
  </r>
  <r>
    <n v="3265"/>
    <s v="Zé Carlos"/>
    <x v="1"/>
    <d v="2024-03-31T00:00:00"/>
    <x v="1"/>
    <n v="5"/>
    <x v="0"/>
    <x v="1"/>
    <s v="-"/>
    <x v="1"/>
    <n v="0"/>
    <n v="1"/>
    <n v="4"/>
  </r>
  <r>
    <n v="3266"/>
    <s v="Amanda Nogueira"/>
    <x v="1"/>
    <d v="2024-04-01T00:00:00"/>
    <x v="0"/>
    <n v="5"/>
    <x v="0"/>
    <x v="1"/>
    <s v="-"/>
    <x v="1"/>
    <n v="0"/>
    <n v="0"/>
    <n v="5"/>
  </r>
  <r>
    <n v="3267"/>
    <s v="Bruno Cavalheiro"/>
    <x v="0"/>
    <d v="2024-04-02T00:00:00"/>
    <x v="1"/>
    <n v="15"/>
    <x v="2"/>
    <x v="0"/>
    <n v="30"/>
    <x v="0"/>
    <n v="20"/>
    <n v="7"/>
    <n v="58"/>
  </r>
  <r>
    <n v="3268"/>
    <s v="Carla Dias"/>
    <x v="2"/>
    <d v="2024-04-03T00:00:00"/>
    <x v="0"/>
    <n v="10"/>
    <x v="1"/>
    <x v="1"/>
    <s v="-"/>
    <x v="0"/>
    <n v="20"/>
    <n v="10"/>
    <n v="20"/>
  </r>
  <r>
    <n v="3269"/>
    <s v="Diego Fontes"/>
    <x v="1"/>
    <d v="2024-04-04T00:00:00"/>
    <x v="1"/>
    <n v="5"/>
    <x v="2"/>
    <x v="1"/>
    <s v="-"/>
    <x v="1"/>
    <n v="0"/>
    <n v="1"/>
    <n v="4"/>
  </r>
  <r>
    <n v="3270"/>
    <s v="Eunice Lima"/>
    <x v="0"/>
    <d v="2024-04-05T00:00:00"/>
    <x v="0"/>
    <n v="15"/>
    <x v="0"/>
    <x v="0"/>
    <n v="30"/>
    <x v="0"/>
    <n v="20"/>
    <n v="15"/>
    <n v="50"/>
  </r>
  <r>
    <n v="3271"/>
    <s v="Fábio Martins"/>
    <x v="2"/>
    <d v="2024-04-06T00:00:00"/>
    <x v="1"/>
    <n v="10"/>
    <x v="0"/>
    <x v="1"/>
    <s v="-"/>
    <x v="0"/>
    <n v="20"/>
    <n v="5"/>
    <n v="25"/>
  </r>
  <r>
    <n v="3272"/>
    <s v="Gisele Araújo"/>
    <x v="1"/>
    <d v="2024-04-07T00:00:00"/>
    <x v="0"/>
    <n v="5"/>
    <x v="1"/>
    <x v="1"/>
    <s v="-"/>
    <x v="1"/>
    <n v="0"/>
    <n v="0"/>
    <n v="5"/>
  </r>
  <r>
    <n v="3273"/>
    <s v="Hélio Castro"/>
    <x v="0"/>
    <d v="2024-04-08T00:00:00"/>
    <x v="1"/>
    <n v="15"/>
    <x v="2"/>
    <x v="0"/>
    <n v="30"/>
    <x v="0"/>
    <n v="20"/>
    <n v="20"/>
    <n v="45"/>
  </r>
  <r>
    <n v="3274"/>
    <s v="Ingrid Menezes"/>
    <x v="2"/>
    <d v="2024-04-09T00:00:00"/>
    <x v="0"/>
    <n v="10"/>
    <x v="2"/>
    <x v="1"/>
    <s v="-"/>
    <x v="0"/>
    <n v="20"/>
    <n v="12"/>
    <n v="18"/>
  </r>
  <r>
    <n v="3275"/>
    <s v="Jorge Baptista"/>
    <x v="1"/>
    <d v="2024-04-10T00:00:00"/>
    <x v="1"/>
    <n v="5"/>
    <x v="0"/>
    <x v="1"/>
    <s v="-"/>
    <x v="1"/>
    <n v="0"/>
    <n v="2"/>
    <n v="3"/>
  </r>
  <r>
    <n v="3276"/>
    <s v="Kléber Oliveira"/>
    <x v="0"/>
    <d v="2024-04-11T00:00:00"/>
    <x v="0"/>
    <n v="15"/>
    <x v="1"/>
    <x v="0"/>
    <n v="30"/>
    <x v="0"/>
    <n v="20"/>
    <n v="5"/>
    <n v="60"/>
  </r>
  <r>
    <n v="3277"/>
    <s v="Luciana Freitas"/>
    <x v="2"/>
    <d v="2024-04-12T00:00:00"/>
    <x v="1"/>
    <n v="10"/>
    <x v="0"/>
    <x v="1"/>
    <s v="-"/>
    <x v="0"/>
    <n v="20"/>
    <n v="10"/>
    <n v="20"/>
  </r>
  <r>
    <n v="3278"/>
    <s v="Márcia Eller"/>
    <x v="1"/>
    <d v="2024-04-13T00:00:00"/>
    <x v="0"/>
    <n v="5"/>
    <x v="2"/>
    <x v="1"/>
    <s v="-"/>
    <x v="1"/>
    <n v="0"/>
    <n v="0"/>
    <n v="5"/>
  </r>
  <r>
    <n v="3279"/>
    <s v="Nilo Peçanha"/>
    <x v="0"/>
    <d v="2024-04-14T00:00:00"/>
    <x v="1"/>
    <n v="15"/>
    <x v="0"/>
    <x v="0"/>
    <n v="30"/>
    <x v="0"/>
    <n v="20"/>
    <n v="3"/>
    <n v="62"/>
  </r>
  <r>
    <n v="3280"/>
    <s v="Oscar Neves"/>
    <x v="2"/>
    <d v="2024-04-15T00:00:00"/>
    <x v="0"/>
    <n v="10"/>
    <x v="1"/>
    <x v="1"/>
    <s v="-"/>
    <x v="0"/>
    <n v="20"/>
    <n v="15"/>
    <n v="15"/>
  </r>
  <r>
    <n v="3281"/>
    <s v="Patrícia Soares"/>
    <x v="1"/>
    <d v="2024-04-16T00:00:00"/>
    <x v="1"/>
    <n v="5"/>
    <x v="0"/>
    <x v="1"/>
    <s v="-"/>
    <x v="1"/>
    <n v="0"/>
    <n v="1"/>
    <n v="4"/>
  </r>
  <r>
    <n v="3282"/>
    <s v="Quirino Gonçalves"/>
    <x v="0"/>
    <d v="2024-04-17T00:00:00"/>
    <x v="0"/>
    <n v="15"/>
    <x v="2"/>
    <x v="0"/>
    <n v="30"/>
    <x v="0"/>
    <n v="20"/>
    <n v="7"/>
    <n v="58"/>
  </r>
  <r>
    <n v="3283"/>
    <s v="Raul Machado"/>
    <x v="2"/>
    <d v="2024-04-18T00:00:00"/>
    <x v="1"/>
    <n v="10"/>
    <x v="0"/>
    <x v="1"/>
    <s v="-"/>
    <x v="0"/>
    <n v="20"/>
    <n v="10"/>
    <n v="20"/>
  </r>
  <r>
    <n v="3284"/>
    <s v="Sônia Lobo"/>
    <x v="1"/>
    <d v="2024-04-19T00:00:00"/>
    <x v="0"/>
    <n v="5"/>
    <x v="1"/>
    <x v="1"/>
    <s v="-"/>
    <x v="1"/>
    <n v="0"/>
    <n v="0"/>
    <n v="5"/>
  </r>
  <r>
    <n v="3285"/>
    <s v="Tiago Ramos"/>
    <x v="0"/>
    <d v="2024-04-20T00:00:00"/>
    <x v="1"/>
    <n v="15"/>
    <x v="0"/>
    <x v="0"/>
    <n v="30"/>
    <x v="0"/>
    <n v="20"/>
    <n v="20"/>
    <n v="45"/>
  </r>
  <r>
    <n v="3286"/>
    <s v="Ugo Pires"/>
    <x v="2"/>
    <d v="2024-04-21T00:00:00"/>
    <x v="0"/>
    <n v="10"/>
    <x v="2"/>
    <x v="1"/>
    <s v="-"/>
    <x v="0"/>
    <n v="20"/>
    <n v="15"/>
    <n v="15"/>
  </r>
  <r>
    <n v="3287"/>
    <s v="Valéria Nobre"/>
    <x v="1"/>
    <d v="2024-04-22T00:00:00"/>
    <x v="1"/>
    <n v="5"/>
    <x v="0"/>
    <x v="1"/>
    <s v="-"/>
    <x v="1"/>
    <n v="0"/>
    <n v="1"/>
    <n v="4"/>
  </r>
  <r>
    <n v="3288"/>
    <s v="William Siqueira"/>
    <x v="0"/>
    <d v="2024-04-23T00:00:00"/>
    <x v="0"/>
    <n v="15"/>
    <x v="1"/>
    <x v="0"/>
    <n v="30"/>
    <x v="0"/>
    <n v="20"/>
    <n v="3"/>
    <n v="62"/>
  </r>
  <r>
    <n v="3289"/>
    <s v="Xuxa Meneghel"/>
    <x v="2"/>
    <d v="2024-04-24T00:00:00"/>
    <x v="1"/>
    <n v="10"/>
    <x v="0"/>
    <x v="1"/>
    <s v="-"/>
    <x v="0"/>
    <n v="20"/>
    <n v="10"/>
    <n v="20"/>
  </r>
  <r>
    <n v="3290"/>
    <s v="Yara Figueiredo"/>
    <x v="1"/>
    <d v="2024-04-25T00:00:00"/>
    <x v="0"/>
    <n v="5"/>
    <x v="2"/>
    <x v="1"/>
    <s v="-"/>
    <x v="1"/>
    <n v="0"/>
    <n v="0"/>
    <n v="5"/>
  </r>
  <r>
    <n v="3291"/>
    <s v="Zacarias Alves"/>
    <x v="0"/>
    <d v="2024-04-26T00:00:00"/>
    <x v="1"/>
    <n v="15"/>
    <x v="0"/>
    <x v="0"/>
    <n v="30"/>
    <x v="0"/>
    <n v="20"/>
    <n v="5"/>
    <n v="60"/>
  </r>
  <r>
    <n v="3292"/>
    <s v="Amanda Bynes"/>
    <x v="2"/>
    <d v="2024-04-27T00:00:00"/>
    <x v="0"/>
    <n v="10"/>
    <x v="1"/>
    <x v="1"/>
    <s v="-"/>
    <x v="0"/>
    <n v="20"/>
    <n v="15"/>
    <n v="15"/>
  </r>
  <r>
    <n v="3293"/>
    <s v="Bruno Mars"/>
    <x v="1"/>
    <d v="2024-04-28T00:00:00"/>
    <x v="1"/>
    <n v="5"/>
    <x v="0"/>
    <x v="1"/>
    <s v="-"/>
    <x v="1"/>
    <n v="0"/>
    <n v="1"/>
    <n v="4"/>
  </r>
  <r>
    <n v="3294"/>
    <s v="Carla Bruni"/>
    <x v="0"/>
    <d v="2024-04-29T00:00:00"/>
    <x v="0"/>
    <n v="15"/>
    <x v="2"/>
    <x v="0"/>
    <n v="30"/>
    <x v="0"/>
    <n v="20"/>
    <n v="20"/>
    <n v="45"/>
  </r>
  <r>
    <n v="3295"/>
    <s v="Diego Maradona"/>
    <x v="2"/>
    <d v="2024-04-30T00:00:00"/>
    <x v="1"/>
    <n v="10"/>
    <x v="0"/>
    <x v="1"/>
    <s v="-"/>
    <x v="0"/>
    <n v="20"/>
    <n v="5"/>
    <n v="25"/>
  </r>
  <r>
    <n v="3296"/>
    <s v="Estela Marques"/>
    <x v="1"/>
    <d v="2024-05-01T00:00:00"/>
    <x v="1"/>
    <n v="5"/>
    <x v="0"/>
    <x v="1"/>
    <s v="-"/>
    <x v="1"/>
    <n v="0"/>
    <n v="0"/>
    <n v="5"/>
  </r>
  <r>
    <n v="3297"/>
    <s v="Fábio Nobre"/>
    <x v="0"/>
    <d v="2024-05-02T00:00:00"/>
    <x v="0"/>
    <n v="15"/>
    <x v="2"/>
    <x v="0"/>
    <n v="30"/>
    <x v="0"/>
    <n v="20"/>
    <n v="7"/>
    <n v="58"/>
  </r>
  <r>
    <n v="3298"/>
    <s v="Gabriel Oliveira"/>
    <x v="2"/>
    <d v="2024-05-03T00:00:00"/>
    <x v="1"/>
    <n v="10"/>
    <x v="1"/>
    <x v="1"/>
    <s v="-"/>
    <x v="0"/>
    <n v="20"/>
    <n v="10"/>
    <n v="20"/>
  </r>
  <r>
    <n v="3299"/>
    <s v="Helena Santos"/>
    <x v="1"/>
    <d v="2024-05-04T00:00:00"/>
    <x v="0"/>
    <n v="5"/>
    <x v="2"/>
    <x v="1"/>
    <s v="-"/>
    <x v="1"/>
    <n v="0"/>
    <n v="1"/>
    <n v="4"/>
  </r>
  <r>
    <n v="3300"/>
    <s v="Ivan Carvalho"/>
    <x v="0"/>
    <d v="2024-05-05T00:00:00"/>
    <x v="1"/>
    <n v="15"/>
    <x v="0"/>
    <x v="0"/>
    <n v="30"/>
    <x v="0"/>
    <n v="20"/>
    <n v="15"/>
    <n v="50"/>
  </r>
  <r>
    <n v="3301"/>
    <s v="Júlia Ferreira"/>
    <x v="2"/>
    <d v="2024-05-06T00:00:00"/>
    <x v="0"/>
    <n v="10"/>
    <x v="0"/>
    <x v="1"/>
    <s v="-"/>
    <x v="0"/>
    <n v="20"/>
    <n v="5"/>
    <n v="25"/>
  </r>
  <r>
    <n v="3302"/>
    <s v="Karla Alves"/>
    <x v="1"/>
    <d v="2024-05-07T00:00:00"/>
    <x v="1"/>
    <n v="5"/>
    <x v="1"/>
    <x v="1"/>
    <s v="-"/>
    <x v="1"/>
    <n v="0"/>
    <n v="0"/>
    <n v="5"/>
  </r>
  <r>
    <n v="3303"/>
    <s v="Lucas Mendes"/>
    <x v="0"/>
    <d v="2024-05-08T00:00:00"/>
    <x v="0"/>
    <n v="15"/>
    <x v="2"/>
    <x v="0"/>
    <n v="30"/>
    <x v="0"/>
    <n v="20"/>
    <n v="20"/>
    <n v="45"/>
  </r>
  <r>
    <n v="3304"/>
    <s v="Mônica Gomes"/>
    <x v="2"/>
    <d v="2024-05-09T00:00:00"/>
    <x v="1"/>
    <n v="10"/>
    <x v="2"/>
    <x v="1"/>
    <s v="-"/>
    <x v="0"/>
    <n v="20"/>
    <n v="12"/>
    <n v="18"/>
  </r>
  <r>
    <n v="3305"/>
    <s v="Norberto Queiroz"/>
    <x v="1"/>
    <d v="2024-05-10T00:00:00"/>
    <x v="0"/>
    <n v="5"/>
    <x v="0"/>
    <x v="1"/>
    <s v="-"/>
    <x v="1"/>
    <n v="0"/>
    <n v="2"/>
    <n v="3"/>
  </r>
  <r>
    <n v="3306"/>
    <s v="Otávio Barros"/>
    <x v="0"/>
    <d v="2024-05-11T00:00:00"/>
    <x v="1"/>
    <n v="15"/>
    <x v="1"/>
    <x v="0"/>
    <n v="30"/>
    <x v="0"/>
    <n v="20"/>
    <n v="5"/>
    <n v="60"/>
  </r>
  <r>
    <n v="3307"/>
    <s v="Paula Vieira"/>
    <x v="2"/>
    <d v="2024-05-12T00:00:00"/>
    <x v="0"/>
    <n v="10"/>
    <x v="0"/>
    <x v="1"/>
    <s v="-"/>
    <x v="0"/>
    <n v="20"/>
    <n v="10"/>
    <n v="20"/>
  </r>
  <r>
    <n v="3308"/>
    <s v="Quentin Ramos"/>
    <x v="1"/>
    <d v="2024-05-13T00:00:00"/>
    <x v="1"/>
    <n v="5"/>
    <x v="2"/>
    <x v="1"/>
    <s v="-"/>
    <x v="1"/>
    <n v="0"/>
    <n v="0"/>
    <n v="5"/>
  </r>
  <r>
    <n v="3309"/>
    <s v="Raquel Novaes"/>
    <x v="0"/>
    <d v="2024-05-14T00:00:00"/>
    <x v="0"/>
    <n v="15"/>
    <x v="0"/>
    <x v="0"/>
    <n v="30"/>
    <x v="0"/>
    <n v="20"/>
    <n v="3"/>
    <n v="62"/>
  </r>
  <r>
    <n v="3310"/>
    <s v="Samantha Lopes"/>
    <x v="2"/>
    <d v="2024-05-15T00:00:00"/>
    <x v="1"/>
    <n v="10"/>
    <x v="1"/>
    <x v="1"/>
    <s v="-"/>
    <x v="0"/>
    <n v="20"/>
    <n v="15"/>
    <n v="15"/>
  </r>
  <r>
    <n v="3311"/>
    <s v="Tiago Martins"/>
    <x v="1"/>
    <d v="2024-05-16T00:00:00"/>
    <x v="0"/>
    <n v="5"/>
    <x v="0"/>
    <x v="1"/>
    <s v="-"/>
    <x v="1"/>
    <n v="0"/>
    <n v="1"/>
    <n v="4"/>
  </r>
  <r>
    <n v="3312"/>
    <s v="Ulysses Guimarães"/>
    <x v="0"/>
    <d v="2024-05-17T00:00:00"/>
    <x v="1"/>
    <n v="15"/>
    <x v="2"/>
    <x v="0"/>
    <n v="30"/>
    <x v="0"/>
    <n v="20"/>
    <n v="7"/>
    <n v="58"/>
  </r>
  <r>
    <n v="3313"/>
    <s v="Vanessa Silva"/>
    <x v="2"/>
    <d v="2024-05-18T00:00:00"/>
    <x v="0"/>
    <n v="10"/>
    <x v="0"/>
    <x v="1"/>
    <s v="-"/>
    <x v="0"/>
    <n v="20"/>
    <n v="10"/>
    <n v="20"/>
  </r>
  <r>
    <n v="3314"/>
    <s v="William Carneiro"/>
    <x v="1"/>
    <d v="2024-05-19T00:00:00"/>
    <x v="1"/>
    <n v="5"/>
    <x v="1"/>
    <x v="1"/>
    <s v="-"/>
    <x v="1"/>
    <n v="0"/>
    <n v="0"/>
    <n v="5"/>
  </r>
  <r>
    <n v="3315"/>
    <s v="Ximena Rocha"/>
    <x v="0"/>
    <d v="2024-05-20T00:00:00"/>
    <x v="0"/>
    <n v="15"/>
    <x v="0"/>
    <x v="0"/>
    <n v="30"/>
    <x v="0"/>
    <n v="20"/>
    <n v="20"/>
    <n v="45"/>
  </r>
  <r>
    <n v="3316"/>
    <s v="Yasmin Figueiredo"/>
    <x v="2"/>
    <d v="2024-05-21T00:00:00"/>
    <x v="1"/>
    <n v="10"/>
    <x v="2"/>
    <x v="1"/>
    <s v="-"/>
    <x v="0"/>
    <n v="20"/>
    <n v="15"/>
    <n v="15"/>
  </r>
  <r>
    <n v="3317"/>
    <s v="Zara Cunha"/>
    <x v="1"/>
    <d v="2024-05-22T00:00:00"/>
    <x v="0"/>
    <n v="5"/>
    <x v="0"/>
    <x v="1"/>
    <s v="-"/>
    <x v="1"/>
    <n v="0"/>
    <n v="1"/>
    <n v="4"/>
  </r>
  <r>
    <n v="3318"/>
    <s v="Alan Teixeira"/>
    <x v="0"/>
    <d v="2024-05-23T00:00:00"/>
    <x v="1"/>
    <n v="15"/>
    <x v="1"/>
    <x v="0"/>
    <n v="30"/>
    <x v="0"/>
    <n v="20"/>
    <n v="3"/>
    <n v="62"/>
  </r>
  <r>
    <n v="3319"/>
    <s v="Bárbara Oliveira"/>
    <x v="2"/>
    <d v="2024-05-24T00:00:00"/>
    <x v="0"/>
    <n v="10"/>
    <x v="0"/>
    <x v="1"/>
    <s v="-"/>
    <x v="0"/>
    <n v="20"/>
    <n v="10"/>
    <n v="20"/>
  </r>
  <r>
    <n v="3320"/>
    <s v="Carlos Junqueira"/>
    <x v="1"/>
    <d v="2024-05-25T00:00:00"/>
    <x v="1"/>
    <n v="5"/>
    <x v="2"/>
    <x v="1"/>
    <s v="-"/>
    <x v="1"/>
    <n v="0"/>
    <n v="0"/>
    <n v="5"/>
  </r>
  <r>
    <n v="3321"/>
    <s v="Daniela Moura"/>
    <x v="0"/>
    <d v="2024-05-26T00:00:00"/>
    <x v="0"/>
    <n v="15"/>
    <x v="0"/>
    <x v="0"/>
    <n v="30"/>
    <x v="0"/>
    <n v="20"/>
    <n v="5"/>
    <n v="60"/>
  </r>
  <r>
    <n v="3322"/>
    <s v="Eduardo Lima"/>
    <x v="2"/>
    <d v="2024-05-27T00:00:00"/>
    <x v="1"/>
    <n v="10"/>
    <x v="1"/>
    <x v="1"/>
    <s v="-"/>
    <x v="0"/>
    <n v="20"/>
    <n v="15"/>
    <n v="15"/>
  </r>
  <r>
    <n v="3323"/>
    <s v="Fabiana Araújo"/>
    <x v="1"/>
    <d v="2024-05-28T00:00:00"/>
    <x v="0"/>
    <n v="5"/>
    <x v="0"/>
    <x v="1"/>
    <s v="-"/>
    <x v="1"/>
    <n v="0"/>
    <n v="1"/>
    <n v="4"/>
  </r>
  <r>
    <n v="3324"/>
    <s v="Geraldo Ribeiro"/>
    <x v="0"/>
    <d v="2024-05-29T00:00:00"/>
    <x v="1"/>
    <n v="15"/>
    <x v="2"/>
    <x v="0"/>
    <n v="30"/>
    <x v="0"/>
    <n v="20"/>
    <n v="20"/>
    <n v="45"/>
  </r>
  <r>
    <n v="3325"/>
    <s v="Héctor Vargas"/>
    <x v="2"/>
    <d v="2024-05-30T00:00:00"/>
    <x v="0"/>
    <n v="10"/>
    <x v="2"/>
    <x v="1"/>
    <s v="-"/>
    <x v="0"/>
    <n v="20"/>
    <n v="15"/>
    <n v="15"/>
  </r>
  <r>
    <n v="3326"/>
    <s v="Isabela Fonseca"/>
    <x v="1"/>
    <d v="2024-05-31T00:00:00"/>
    <x v="1"/>
    <n v="5"/>
    <x v="1"/>
    <x v="1"/>
    <s v="-"/>
    <x v="1"/>
    <n v="0"/>
    <n v="0"/>
    <n v="5"/>
  </r>
  <r>
    <n v="3327"/>
    <s v="João Pedro Almeida"/>
    <x v="0"/>
    <d v="2024-06-01T00:00:00"/>
    <x v="0"/>
    <n v="15"/>
    <x v="0"/>
    <x v="0"/>
    <n v="30"/>
    <x v="0"/>
    <n v="20"/>
    <n v="7"/>
    <n v="58"/>
  </r>
  <r>
    <n v="3328"/>
    <s v="Klara Costa"/>
    <x v="2"/>
    <d v="2024-06-02T00:00:00"/>
    <x v="1"/>
    <n v="10"/>
    <x v="1"/>
    <x v="1"/>
    <s v="-"/>
    <x v="0"/>
    <n v="20"/>
    <n v="10"/>
    <n v="20"/>
  </r>
  <r>
    <n v="3329"/>
    <s v="Luciana Mendes"/>
    <x v="1"/>
    <d v="2024-06-03T00:00:00"/>
    <x v="0"/>
    <n v="5"/>
    <x v="2"/>
    <x v="1"/>
    <s v="-"/>
    <x v="1"/>
    <n v="0"/>
    <n v="1"/>
    <n v="4"/>
  </r>
  <r>
    <n v="3330"/>
    <s v="Marcelo Gouveia"/>
    <x v="0"/>
    <d v="2024-06-04T00:00:00"/>
    <x v="1"/>
    <n v="15"/>
    <x v="0"/>
    <x v="0"/>
    <n v="30"/>
    <x v="0"/>
    <n v="20"/>
    <n v="15"/>
    <n v="50"/>
  </r>
  <r>
    <n v="3331"/>
    <s v="Nívea Borges"/>
    <x v="2"/>
    <d v="2024-06-05T00:00:00"/>
    <x v="0"/>
    <n v="10"/>
    <x v="0"/>
    <x v="1"/>
    <s v="-"/>
    <x v="0"/>
    <n v="20"/>
    <n v="5"/>
    <n v="25"/>
  </r>
  <r>
    <n v="3332"/>
    <s v="Oscar Nogueira"/>
    <x v="1"/>
    <d v="2024-06-06T00:00:00"/>
    <x v="1"/>
    <n v="5"/>
    <x v="1"/>
    <x v="1"/>
    <s v="-"/>
    <x v="1"/>
    <n v="0"/>
    <n v="0"/>
    <n v="5"/>
  </r>
  <r>
    <n v="3333"/>
    <s v="Patrícia Alves"/>
    <x v="0"/>
    <d v="2024-06-07T00:00:00"/>
    <x v="0"/>
    <n v="15"/>
    <x v="2"/>
    <x v="0"/>
    <n v="30"/>
    <x v="0"/>
    <n v="20"/>
    <n v="20"/>
    <n v="45"/>
  </r>
  <r>
    <n v="3334"/>
    <s v="Rafaela Silva"/>
    <x v="2"/>
    <d v="2024-06-08T00:00:00"/>
    <x v="1"/>
    <n v="10"/>
    <x v="2"/>
    <x v="1"/>
    <s v="-"/>
    <x v="0"/>
    <n v="20"/>
    <n v="12"/>
    <n v="18"/>
  </r>
  <r>
    <n v="3335"/>
    <s v="Samantha Moraes"/>
    <x v="1"/>
    <d v="2024-06-09T00:00:00"/>
    <x v="0"/>
    <n v="5"/>
    <x v="0"/>
    <x v="1"/>
    <s v="-"/>
    <x v="1"/>
    <n v="0"/>
    <n v="2"/>
    <n v="3"/>
  </r>
  <r>
    <n v="3336"/>
    <s v="Tatiana Rocha"/>
    <x v="1"/>
    <d v="2024-06-10T00:00:00"/>
    <x v="0"/>
    <n v="5"/>
    <x v="0"/>
    <x v="1"/>
    <s v="-"/>
    <x v="1"/>
    <n v="0"/>
    <n v="0"/>
    <n v="5"/>
  </r>
  <r>
    <n v="3337"/>
    <s v="Ulisses Tavares"/>
    <x v="0"/>
    <d v="2024-06-11T00:00:00"/>
    <x v="1"/>
    <n v="15"/>
    <x v="2"/>
    <x v="0"/>
    <n v="30"/>
    <x v="0"/>
    <n v="20"/>
    <n v="7"/>
    <n v="58"/>
  </r>
  <r>
    <n v="3338"/>
    <s v="Víctor Lemos"/>
    <x v="2"/>
    <d v="2024-06-12T00:00:00"/>
    <x v="0"/>
    <n v="10"/>
    <x v="1"/>
    <x v="1"/>
    <s v="-"/>
    <x v="0"/>
    <n v="20"/>
    <n v="10"/>
    <n v="20"/>
  </r>
  <r>
    <n v="3339"/>
    <s v="Wilma Barros"/>
    <x v="1"/>
    <d v="2024-06-13T00:00:00"/>
    <x v="1"/>
    <n v="5"/>
    <x v="2"/>
    <x v="1"/>
    <s v="-"/>
    <x v="1"/>
    <n v="0"/>
    <n v="1"/>
    <n v="4"/>
  </r>
  <r>
    <n v="3340"/>
    <s v="Xavier Nascimento"/>
    <x v="0"/>
    <d v="2024-06-14T00:00:00"/>
    <x v="0"/>
    <n v="15"/>
    <x v="0"/>
    <x v="0"/>
    <n v="30"/>
    <x v="0"/>
    <n v="20"/>
    <n v="15"/>
    <n v="50"/>
  </r>
  <r>
    <n v="3341"/>
    <s v="Yago Pereira"/>
    <x v="2"/>
    <d v="2024-06-15T00:00:00"/>
    <x v="1"/>
    <n v="10"/>
    <x v="0"/>
    <x v="1"/>
    <s v="-"/>
    <x v="0"/>
    <n v="20"/>
    <n v="5"/>
    <n v="25"/>
  </r>
  <r>
    <n v="3342"/>
    <s v="Zilda Ferreira"/>
    <x v="1"/>
    <d v="2024-06-16T00:00:00"/>
    <x v="0"/>
    <n v="5"/>
    <x v="1"/>
    <x v="1"/>
    <s v="-"/>
    <x v="1"/>
    <n v="0"/>
    <n v="0"/>
    <n v="5"/>
  </r>
  <r>
    <n v="3343"/>
    <s v="Amanda Lopes"/>
    <x v="0"/>
    <d v="2024-06-17T00:00:00"/>
    <x v="1"/>
    <n v="15"/>
    <x v="2"/>
    <x v="0"/>
    <n v="30"/>
    <x v="0"/>
    <n v="20"/>
    <n v="20"/>
    <n v="45"/>
  </r>
  <r>
    <n v="3344"/>
    <s v="Bruno Miranda"/>
    <x v="2"/>
    <d v="2024-06-18T00:00:00"/>
    <x v="0"/>
    <n v="10"/>
    <x v="2"/>
    <x v="1"/>
    <s v="-"/>
    <x v="0"/>
    <n v="20"/>
    <n v="12"/>
    <n v="18"/>
  </r>
  <r>
    <n v="3345"/>
    <s v="Célia Torres"/>
    <x v="1"/>
    <d v="2024-06-19T00:00:00"/>
    <x v="1"/>
    <n v="5"/>
    <x v="0"/>
    <x v="1"/>
    <s v="-"/>
    <x v="1"/>
    <n v="0"/>
    <n v="2"/>
    <n v="3"/>
  </r>
  <r>
    <n v="3346"/>
    <s v="Diogo Souza"/>
    <x v="0"/>
    <d v="2024-06-20T00:00:00"/>
    <x v="0"/>
    <n v="15"/>
    <x v="1"/>
    <x v="0"/>
    <n v="30"/>
    <x v="0"/>
    <n v="20"/>
    <n v="5"/>
    <n v="60"/>
  </r>
  <r>
    <n v="3347"/>
    <s v="Elisa Castro"/>
    <x v="2"/>
    <d v="2024-06-21T00:00:00"/>
    <x v="1"/>
    <n v="10"/>
    <x v="0"/>
    <x v="1"/>
    <s v="-"/>
    <x v="0"/>
    <n v="20"/>
    <n v="10"/>
    <n v="20"/>
  </r>
  <r>
    <n v="3348"/>
    <s v="Fátima Lima"/>
    <x v="1"/>
    <d v="2024-06-22T00:00:00"/>
    <x v="0"/>
    <n v="5"/>
    <x v="2"/>
    <x v="1"/>
    <s v="-"/>
    <x v="1"/>
    <n v="0"/>
    <n v="0"/>
    <n v="5"/>
  </r>
  <r>
    <n v="3349"/>
    <s v="Geraldo Ribeiro"/>
    <x v="0"/>
    <d v="2024-06-23T00:00:00"/>
    <x v="1"/>
    <n v="15"/>
    <x v="0"/>
    <x v="0"/>
    <n v="30"/>
    <x v="0"/>
    <n v="20"/>
    <n v="3"/>
    <n v="62"/>
  </r>
  <r>
    <n v="3350"/>
    <s v="Hélio Martins"/>
    <x v="2"/>
    <d v="2024-06-24T00:00:00"/>
    <x v="0"/>
    <n v="10"/>
    <x v="1"/>
    <x v="1"/>
    <s v="-"/>
    <x v="0"/>
    <n v="20"/>
    <n v="15"/>
    <n v="15"/>
  </r>
  <r>
    <n v="3351"/>
    <s v="Íris Santos"/>
    <x v="1"/>
    <d v="2024-06-25T00:00:00"/>
    <x v="1"/>
    <n v="5"/>
    <x v="0"/>
    <x v="1"/>
    <s v="-"/>
    <x v="1"/>
    <n v="0"/>
    <n v="1"/>
    <n v="4"/>
  </r>
  <r>
    <n v="3352"/>
    <s v="João Marcelo"/>
    <x v="0"/>
    <d v="2024-06-26T00:00:00"/>
    <x v="0"/>
    <n v="15"/>
    <x v="2"/>
    <x v="0"/>
    <n v="30"/>
    <x v="0"/>
    <n v="20"/>
    <n v="7"/>
    <n v="58"/>
  </r>
  <r>
    <n v="3353"/>
    <s v="Larissa Gomes"/>
    <x v="2"/>
    <d v="2024-06-27T00:00:00"/>
    <x v="1"/>
    <n v="10"/>
    <x v="0"/>
    <x v="1"/>
    <s v="-"/>
    <x v="0"/>
    <n v="20"/>
    <n v="10"/>
    <n v="20"/>
  </r>
  <r>
    <n v="3354"/>
    <s v="Márcio Silva"/>
    <x v="1"/>
    <d v="2024-06-28T00:00:00"/>
    <x v="0"/>
    <n v="5"/>
    <x v="1"/>
    <x v="1"/>
    <s v="-"/>
    <x v="1"/>
    <n v="0"/>
    <n v="0"/>
    <n v="5"/>
  </r>
  <r>
    <n v="3355"/>
    <s v="Nadia Costa"/>
    <x v="0"/>
    <d v="2024-06-29T00:00:00"/>
    <x v="1"/>
    <n v="15"/>
    <x v="0"/>
    <x v="0"/>
    <n v="30"/>
    <x v="0"/>
    <n v="20"/>
    <n v="20"/>
    <n v="45"/>
  </r>
  <r>
    <n v="3356"/>
    <s v="Oscar Almeida"/>
    <x v="2"/>
    <d v="2024-06-30T00:00:00"/>
    <x v="0"/>
    <n v="10"/>
    <x v="2"/>
    <x v="1"/>
    <s v="-"/>
    <x v="0"/>
    <n v="20"/>
    <n v="15"/>
    <n v="15"/>
  </r>
  <r>
    <n v="3357"/>
    <s v="Patricia Soares"/>
    <x v="1"/>
    <d v="2024-07-01T00:00:00"/>
    <x v="1"/>
    <n v="5"/>
    <x v="0"/>
    <x v="1"/>
    <s v="-"/>
    <x v="1"/>
    <n v="0"/>
    <n v="1"/>
    <n v="4"/>
  </r>
  <r>
    <n v="3358"/>
    <s v="Quênia Barros"/>
    <x v="0"/>
    <d v="2024-07-02T00:00:00"/>
    <x v="0"/>
    <n v="15"/>
    <x v="1"/>
    <x v="0"/>
    <n v="30"/>
    <x v="0"/>
    <n v="20"/>
    <n v="3"/>
    <n v="62"/>
  </r>
  <r>
    <n v="3359"/>
    <s v="Rafael Torres"/>
    <x v="2"/>
    <d v="2024-07-03T00:00:00"/>
    <x v="1"/>
    <n v="10"/>
    <x v="0"/>
    <x v="1"/>
    <s v="-"/>
    <x v="0"/>
    <n v="20"/>
    <n v="10"/>
    <n v="20"/>
  </r>
  <r>
    <n v="3360"/>
    <s v="Silvia Nascimento"/>
    <x v="1"/>
    <d v="2024-07-04T00:00:00"/>
    <x v="0"/>
    <n v="5"/>
    <x v="2"/>
    <x v="1"/>
    <s v="-"/>
    <x v="1"/>
    <n v="0"/>
    <n v="0"/>
    <n v="5"/>
  </r>
  <r>
    <n v="3361"/>
    <s v="Tiago Mendes"/>
    <x v="0"/>
    <d v="2024-07-05T00:00:00"/>
    <x v="1"/>
    <n v="15"/>
    <x v="0"/>
    <x v="0"/>
    <n v="30"/>
    <x v="0"/>
    <n v="20"/>
    <n v="15"/>
    <n v="50"/>
  </r>
  <r>
    <n v="3362"/>
    <s v="Ursula Silva"/>
    <x v="2"/>
    <d v="2024-07-06T00:00:00"/>
    <x v="0"/>
    <n v="10"/>
    <x v="1"/>
    <x v="1"/>
    <s v="-"/>
    <x v="0"/>
    <n v="20"/>
    <n v="15"/>
    <n v="15"/>
  </r>
  <r>
    <n v="3363"/>
    <s v="Vanessa Moraes"/>
    <x v="1"/>
    <d v="2024-07-07T00:00:00"/>
    <x v="1"/>
    <n v="5"/>
    <x v="0"/>
    <x v="1"/>
    <s v="-"/>
    <x v="1"/>
    <n v="0"/>
    <n v="1"/>
    <n v="4"/>
  </r>
  <r>
    <n v="3364"/>
    <s v="Waldir Junior"/>
    <x v="0"/>
    <d v="2024-07-08T00:00:00"/>
    <x v="0"/>
    <n v="15"/>
    <x v="2"/>
    <x v="0"/>
    <n v="30"/>
    <x v="0"/>
    <n v="20"/>
    <n v="7"/>
    <n v="58"/>
  </r>
  <r>
    <n v="3365"/>
    <s v="Xavier Lopes"/>
    <x v="2"/>
    <d v="2024-07-09T00:00:00"/>
    <x v="1"/>
    <n v="10"/>
    <x v="0"/>
    <x v="1"/>
    <s v="-"/>
    <x v="0"/>
    <n v="20"/>
    <n v="10"/>
    <n v="20"/>
  </r>
  <r>
    <n v="3366"/>
    <s v="Yolanda Freitas"/>
    <x v="1"/>
    <d v="2024-07-10T00:00:00"/>
    <x v="0"/>
    <n v="5"/>
    <x v="0"/>
    <x v="1"/>
    <s v="-"/>
    <x v="1"/>
    <n v="0"/>
    <n v="0"/>
    <n v="5"/>
  </r>
  <r>
    <n v="3367"/>
    <s v="Zacarias Nunes"/>
    <x v="0"/>
    <d v="2024-07-11T00:00:00"/>
    <x v="1"/>
    <n v="15"/>
    <x v="2"/>
    <x v="0"/>
    <n v="30"/>
    <x v="0"/>
    <n v="20"/>
    <n v="7"/>
    <n v="58"/>
  </r>
  <r>
    <n v="3368"/>
    <s v="Ana Clara Barreto"/>
    <x v="2"/>
    <d v="2024-07-12T00:00:00"/>
    <x v="0"/>
    <n v="10"/>
    <x v="1"/>
    <x v="1"/>
    <s v="-"/>
    <x v="0"/>
    <n v="20"/>
    <n v="10"/>
    <n v="20"/>
  </r>
  <r>
    <n v="3369"/>
    <s v="Bruno Henrique"/>
    <x v="1"/>
    <d v="2024-07-13T00:00:00"/>
    <x v="1"/>
    <n v="5"/>
    <x v="2"/>
    <x v="1"/>
    <s v="-"/>
    <x v="1"/>
    <n v="0"/>
    <n v="1"/>
    <n v="4"/>
  </r>
  <r>
    <n v="3370"/>
    <s v="Carlos Eduardo"/>
    <x v="0"/>
    <d v="2024-07-14T00:00:00"/>
    <x v="0"/>
    <n v="15"/>
    <x v="0"/>
    <x v="0"/>
    <n v="30"/>
    <x v="0"/>
    <n v="20"/>
    <n v="15"/>
    <n v="50"/>
  </r>
  <r>
    <n v="3371"/>
    <s v="Débora Lima"/>
    <x v="2"/>
    <d v="2024-07-15T00:00:00"/>
    <x v="1"/>
    <n v="10"/>
    <x v="0"/>
    <x v="1"/>
    <s v="-"/>
    <x v="0"/>
    <n v="20"/>
    <n v="5"/>
    <n v="25"/>
  </r>
  <r>
    <n v="3372"/>
    <s v="Elisa Neves"/>
    <x v="1"/>
    <d v="2024-07-16T00:00:00"/>
    <x v="0"/>
    <n v="5"/>
    <x v="1"/>
    <x v="1"/>
    <s v="-"/>
    <x v="1"/>
    <n v="0"/>
    <n v="0"/>
    <n v="5"/>
  </r>
  <r>
    <n v="3373"/>
    <s v="Fabiano Gomes"/>
    <x v="0"/>
    <d v="2024-07-17T00:00:00"/>
    <x v="1"/>
    <n v="15"/>
    <x v="2"/>
    <x v="0"/>
    <n v="30"/>
    <x v="0"/>
    <n v="20"/>
    <n v="20"/>
    <n v="45"/>
  </r>
  <r>
    <n v="3374"/>
    <s v="Gisele Oliveira"/>
    <x v="2"/>
    <d v="2024-07-18T00:00:00"/>
    <x v="0"/>
    <n v="10"/>
    <x v="2"/>
    <x v="1"/>
    <s v="-"/>
    <x v="0"/>
    <n v="20"/>
    <n v="12"/>
    <n v="18"/>
  </r>
  <r>
    <n v="3375"/>
    <s v="Héctor Silva"/>
    <x v="1"/>
    <d v="2024-07-19T00:00:00"/>
    <x v="1"/>
    <n v="5"/>
    <x v="0"/>
    <x v="1"/>
    <s v="-"/>
    <x v="1"/>
    <n v="0"/>
    <n v="2"/>
    <n v="3"/>
  </r>
  <r>
    <n v="3376"/>
    <s v="Igor Martins"/>
    <x v="0"/>
    <d v="2024-07-20T00:00:00"/>
    <x v="0"/>
    <n v="15"/>
    <x v="1"/>
    <x v="0"/>
    <n v="30"/>
    <x v="0"/>
    <n v="20"/>
    <n v="5"/>
    <n v="60"/>
  </r>
  <r>
    <n v="3377"/>
    <s v="Joana Figueiredo"/>
    <x v="2"/>
    <d v="2024-07-21T00:00:00"/>
    <x v="1"/>
    <n v="10"/>
    <x v="0"/>
    <x v="1"/>
    <s v="-"/>
    <x v="0"/>
    <n v="20"/>
    <n v="10"/>
    <n v="20"/>
  </r>
  <r>
    <n v="3378"/>
    <s v="Kleber Machado"/>
    <x v="1"/>
    <d v="2024-07-22T00:00:00"/>
    <x v="0"/>
    <n v="5"/>
    <x v="2"/>
    <x v="1"/>
    <s v="-"/>
    <x v="1"/>
    <n v="0"/>
    <n v="0"/>
    <n v="5"/>
  </r>
  <r>
    <n v="3379"/>
    <s v="Luciana Santos"/>
    <x v="0"/>
    <d v="2024-07-23T00:00:00"/>
    <x v="1"/>
    <n v="15"/>
    <x v="0"/>
    <x v="0"/>
    <n v="30"/>
    <x v="0"/>
    <n v="20"/>
    <n v="3"/>
    <n v="62"/>
  </r>
  <r>
    <n v="3380"/>
    <s v="Marcos Teixeira"/>
    <x v="2"/>
    <d v="2024-07-24T00:00:00"/>
    <x v="0"/>
    <n v="10"/>
    <x v="1"/>
    <x v="1"/>
    <s v="-"/>
    <x v="0"/>
    <n v="20"/>
    <n v="15"/>
    <n v="15"/>
  </r>
  <r>
    <n v="3381"/>
    <s v="Natalia Costa"/>
    <x v="1"/>
    <d v="2024-07-25T00:00:00"/>
    <x v="1"/>
    <n v="5"/>
    <x v="0"/>
    <x v="1"/>
    <s v="-"/>
    <x v="1"/>
    <n v="0"/>
    <n v="1"/>
    <n v="4"/>
  </r>
  <r>
    <n v="3382"/>
    <s v="Oscar Ribeiro"/>
    <x v="0"/>
    <d v="2024-07-26T00:00:00"/>
    <x v="0"/>
    <n v="15"/>
    <x v="2"/>
    <x v="0"/>
    <n v="30"/>
    <x v="0"/>
    <n v="20"/>
    <n v="7"/>
    <n v="58"/>
  </r>
  <r>
    <n v="3383"/>
    <s v="Patricia Almeida"/>
    <x v="2"/>
    <d v="2024-07-27T00:00:00"/>
    <x v="1"/>
    <n v="10"/>
    <x v="0"/>
    <x v="1"/>
    <s v="-"/>
    <x v="0"/>
    <n v="20"/>
    <n v="10"/>
    <n v="20"/>
  </r>
  <r>
    <n v="3384"/>
    <s v="Quirino Junior"/>
    <x v="1"/>
    <d v="2024-07-28T00:00:00"/>
    <x v="0"/>
    <n v="5"/>
    <x v="1"/>
    <x v="1"/>
    <s v="-"/>
    <x v="1"/>
    <n v="0"/>
    <n v="0"/>
    <n v="5"/>
  </r>
  <r>
    <n v="3385"/>
    <s v="Renata Machado"/>
    <x v="0"/>
    <d v="2024-07-29T00:00:00"/>
    <x v="1"/>
    <n v="15"/>
    <x v="0"/>
    <x v="0"/>
    <n v="30"/>
    <x v="0"/>
    <n v="20"/>
    <n v="20"/>
    <n v="45"/>
  </r>
  <r>
    <n v="3386"/>
    <s v="Sônia Alves"/>
    <x v="2"/>
    <d v="2024-07-30T00:00:00"/>
    <x v="0"/>
    <n v="10"/>
    <x v="2"/>
    <x v="1"/>
    <s v="-"/>
    <x v="0"/>
    <n v="20"/>
    <n v="15"/>
    <n v="15"/>
  </r>
  <r>
    <n v="3387"/>
    <s v="Tiago Nunes"/>
    <x v="1"/>
    <d v="2024-07-31T00:00:00"/>
    <x v="1"/>
    <n v="5"/>
    <x v="0"/>
    <x v="1"/>
    <s v="-"/>
    <x v="1"/>
    <n v="0"/>
    <n v="1"/>
    <n v="4"/>
  </r>
  <r>
    <n v="3388"/>
    <s v="Ulysses Pereira"/>
    <x v="0"/>
    <d v="2024-08-01T00:00:00"/>
    <x v="0"/>
    <n v="15"/>
    <x v="1"/>
    <x v="0"/>
    <n v="30"/>
    <x v="0"/>
    <n v="20"/>
    <n v="3"/>
    <n v="62"/>
  </r>
  <r>
    <n v="3389"/>
    <s v="Vanessa Lima"/>
    <x v="2"/>
    <d v="2024-08-02T00:00:00"/>
    <x v="1"/>
    <n v="10"/>
    <x v="0"/>
    <x v="1"/>
    <s v="-"/>
    <x v="0"/>
    <n v="20"/>
    <n v="10"/>
    <n v="20"/>
  </r>
  <r>
    <n v="3390"/>
    <s v="Wagner Santos"/>
    <x v="1"/>
    <d v="2024-08-03T00:00:00"/>
    <x v="0"/>
    <n v="5"/>
    <x v="2"/>
    <x v="1"/>
    <s v="-"/>
    <x v="1"/>
    <n v="0"/>
    <n v="0"/>
    <n v="5"/>
  </r>
  <r>
    <n v="3391"/>
    <s v="Xuxa Meneghel"/>
    <x v="0"/>
    <d v="2024-08-04T00:00:00"/>
    <x v="1"/>
    <n v="15"/>
    <x v="0"/>
    <x v="0"/>
    <n v="30"/>
    <x v="0"/>
    <n v="20"/>
    <n v="15"/>
    <n v="50"/>
  </r>
  <r>
    <n v="3392"/>
    <s v="Yasmin Silva"/>
    <x v="2"/>
    <d v="2024-08-05T00:00:00"/>
    <x v="0"/>
    <n v="10"/>
    <x v="1"/>
    <x v="1"/>
    <s v="-"/>
    <x v="0"/>
    <n v="20"/>
    <n v="15"/>
    <n v="15"/>
  </r>
  <r>
    <n v="3393"/>
    <s v="Zacarias de Souza"/>
    <x v="1"/>
    <d v="2024-08-06T00:00:00"/>
    <x v="1"/>
    <n v="5"/>
    <x v="0"/>
    <x v="1"/>
    <s v="-"/>
    <x v="1"/>
    <n v="0"/>
    <n v="1"/>
    <n v="4"/>
  </r>
  <r>
    <n v="3394"/>
    <s v="André Lima"/>
    <x v="0"/>
    <d v="2024-08-07T00:00:00"/>
    <x v="0"/>
    <n v="15"/>
    <x v="2"/>
    <x v="0"/>
    <n v="30"/>
    <x v="0"/>
    <n v="20"/>
    <n v="7"/>
    <n v="58"/>
  </r>
  <r>
    <n v="3395"/>
    <s v="Bianca Freitas"/>
    <x v="2"/>
    <d v="2024-08-08T00:00:00"/>
    <x v="1"/>
    <n v="10"/>
    <x v="0"/>
    <x v="1"/>
    <s v="-"/>
    <x v="0"/>
    <n v="20"/>
    <n v="10"/>
    <n v="20"/>
  </r>
  <r>
    <n v="3396"/>
    <s v="Caio Mendes"/>
    <x v="1"/>
    <d v="2024-08-09T00:00:00"/>
    <x v="0"/>
    <n v="5"/>
    <x v="1"/>
    <x v="1"/>
    <s v="-"/>
    <x v="1"/>
    <n v="0"/>
    <n v="0"/>
    <n v="5"/>
  </r>
  <r>
    <n v="3397"/>
    <s v="Daniela Moura"/>
    <x v="0"/>
    <d v="2024-08-10T00:00:00"/>
    <x v="1"/>
    <n v="15"/>
    <x v="0"/>
    <x v="0"/>
    <n v="30"/>
    <x v="0"/>
    <n v="20"/>
    <n v="20"/>
    <n v="45"/>
  </r>
  <r>
    <n v="3398"/>
    <s v="Eduardo Costa"/>
    <x v="2"/>
    <d v="2024-08-11T00:00:00"/>
    <x v="0"/>
    <n v="10"/>
    <x v="2"/>
    <x v="1"/>
    <s v="-"/>
    <x v="0"/>
    <n v="20"/>
    <n v="15"/>
    <n v="15"/>
  </r>
  <r>
    <n v="3399"/>
    <s v="Fernanda Gomes"/>
    <x v="1"/>
    <d v="2024-08-12T00:00:00"/>
    <x v="1"/>
    <n v="5"/>
    <x v="0"/>
    <x v="1"/>
    <s v="-"/>
    <x v="1"/>
    <n v="0"/>
    <n v="1"/>
    <n v="4"/>
  </r>
  <r>
    <n v="3400"/>
    <s v="Guilherme Souza"/>
    <x v="0"/>
    <d v="2024-08-13T00:00:00"/>
    <x v="0"/>
    <n v="15"/>
    <x v="1"/>
    <x v="0"/>
    <n v="30"/>
    <x v="0"/>
    <n v="20"/>
    <n v="5"/>
    <n v="60"/>
  </r>
  <r>
    <n v="3401"/>
    <s v="Helena Ribeiro"/>
    <x v="2"/>
    <d v="2024-08-14T00:00:00"/>
    <x v="1"/>
    <n v="10"/>
    <x v="0"/>
    <x v="1"/>
    <s v="-"/>
    <x v="0"/>
    <n v="20"/>
    <n v="10"/>
    <n v="20"/>
  </r>
  <r>
    <n v="3402"/>
    <s v="Igor Santos"/>
    <x v="1"/>
    <d v="2024-08-15T00:00:00"/>
    <x v="0"/>
    <n v="5"/>
    <x v="2"/>
    <x v="1"/>
    <s v="-"/>
    <x v="1"/>
    <n v="0"/>
    <n v="0"/>
    <n v="5"/>
  </r>
  <r>
    <n v="3403"/>
    <s v="João Carvalho"/>
    <x v="0"/>
    <d v="2024-08-16T00:00:00"/>
    <x v="1"/>
    <n v="15"/>
    <x v="0"/>
    <x v="0"/>
    <n v="30"/>
    <x v="0"/>
    <n v="20"/>
    <n v="3"/>
    <n v="62"/>
  </r>
  <r>
    <n v="3404"/>
    <s v="Klara Fagundes"/>
    <x v="2"/>
    <d v="2024-08-17T00:00:00"/>
    <x v="0"/>
    <n v="10"/>
    <x v="1"/>
    <x v="1"/>
    <s v="-"/>
    <x v="0"/>
    <n v="20"/>
    <n v="15"/>
    <n v="15"/>
  </r>
  <r>
    <n v="3405"/>
    <s v="Lúcia Mendonça"/>
    <x v="1"/>
    <d v="2024-08-18T00:00:00"/>
    <x v="1"/>
    <n v="5"/>
    <x v="0"/>
    <x v="1"/>
    <s v="-"/>
    <x v="1"/>
    <n v="0"/>
    <n v="1"/>
    <n v="4"/>
  </r>
  <r>
    <n v="3406"/>
    <s v="Marcelo Novaes"/>
    <x v="1"/>
    <d v="2024-08-19T00:00:00"/>
    <x v="0"/>
    <n v="5"/>
    <x v="0"/>
    <x v="1"/>
    <s v="-"/>
    <x v="1"/>
    <n v="0"/>
    <n v="0"/>
    <n v="5"/>
  </r>
  <r>
    <n v="3407"/>
    <s v="Nina Pacheco"/>
    <x v="0"/>
    <d v="2024-08-20T00:00:00"/>
    <x v="1"/>
    <n v="15"/>
    <x v="2"/>
    <x v="0"/>
    <n v="30"/>
    <x v="0"/>
    <n v="20"/>
    <n v="7"/>
    <n v="58"/>
  </r>
  <r>
    <n v="3408"/>
    <s v="Olívia Rios"/>
    <x v="2"/>
    <d v="2024-08-21T00:00:00"/>
    <x v="0"/>
    <n v="10"/>
    <x v="1"/>
    <x v="1"/>
    <s v="-"/>
    <x v="0"/>
    <n v="20"/>
    <n v="10"/>
    <n v="20"/>
  </r>
  <r>
    <n v="3409"/>
    <s v="Paulo Quintana"/>
    <x v="1"/>
    <d v="2024-08-22T00:00:00"/>
    <x v="1"/>
    <n v="5"/>
    <x v="2"/>
    <x v="1"/>
    <s v="-"/>
    <x v="1"/>
    <n v="0"/>
    <n v="1"/>
    <n v="4"/>
  </r>
  <r>
    <n v="3410"/>
    <s v="Raquel Domingos"/>
    <x v="0"/>
    <d v="2024-08-23T00:00:00"/>
    <x v="0"/>
    <n v="15"/>
    <x v="0"/>
    <x v="0"/>
    <n v="30"/>
    <x v="0"/>
    <n v="20"/>
    <n v="15"/>
    <n v="50"/>
  </r>
  <r>
    <n v="3411"/>
    <s v="Samuel Viana"/>
    <x v="2"/>
    <d v="2024-08-24T00:00:00"/>
    <x v="1"/>
    <n v="10"/>
    <x v="0"/>
    <x v="1"/>
    <s v="-"/>
    <x v="0"/>
    <n v="20"/>
    <n v="5"/>
    <n v="25"/>
  </r>
  <r>
    <n v="3412"/>
    <s v="Tatiane Rocha"/>
    <x v="1"/>
    <d v="2024-08-25T00:00:00"/>
    <x v="0"/>
    <n v="5"/>
    <x v="1"/>
    <x v="1"/>
    <s v="-"/>
    <x v="1"/>
    <n v="0"/>
    <n v="0"/>
    <n v="5"/>
  </r>
  <r>
    <n v="3413"/>
    <s v="Ulysses Farias"/>
    <x v="0"/>
    <d v="2024-08-26T00:00:00"/>
    <x v="1"/>
    <n v="15"/>
    <x v="2"/>
    <x v="0"/>
    <n v="30"/>
    <x v="0"/>
    <n v="20"/>
    <n v="20"/>
    <n v="45"/>
  </r>
  <r>
    <n v="3414"/>
    <s v="Vanessa Moreira"/>
    <x v="2"/>
    <d v="2024-08-27T00:00:00"/>
    <x v="0"/>
    <n v="10"/>
    <x v="2"/>
    <x v="1"/>
    <s v="-"/>
    <x v="0"/>
    <n v="20"/>
    <n v="12"/>
    <n v="18"/>
  </r>
  <r>
    <n v="3415"/>
    <s v="William Carvalho"/>
    <x v="1"/>
    <d v="2024-08-28T00:00:00"/>
    <x v="1"/>
    <n v="5"/>
    <x v="0"/>
    <x v="1"/>
    <s v="-"/>
    <x v="1"/>
    <n v="0"/>
    <n v="2"/>
    <n v="3"/>
  </r>
  <r>
    <n v="3416"/>
    <s v="Ximena Barros"/>
    <x v="0"/>
    <d v="2024-08-29T00:00:00"/>
    <x v="0"/>
    <n v="15"/>
    <x v="1"/>
    <x v="0"/>
    <n v="30"/>
    <x v="0"/>
    <n v="20"/>
    <n v="5"/>
    <n v="60"/>
  </r>
  <r>
    <n v="3417"/>
    <s v="Yara Machado"/>
    <x v="2"/>
    <d v="2024-08-30T00:00:00"/>
    <x v="1"/>
    <n v="10"/>
    <x v="0"/>
    <x v="1"/>
    <s v="-"/>
    <x v="0"/>
    <n v="20"/>
    <n v="10"/>
    <n v="20"/>
  </r>
  <r>
    <n v="3418"/>
    <s v="Zacarias Costa"/>
    <x v="1"/>
    <d v="2024-08-31T00:00:00"/>
    <x v="0"/>
    <n v="5"/>
    <x v="2"/>
    <x v="1"/>
    <s v="-"/>
    <x v="1"/>
    <n v="0"/>
    <n v="0"/>
    <n v="5"/>
  </r>
  <r>
    <n v="3419"/>
    <s v="André Lopes"/>
    <x v="0"/>
    <d v="2024-09-01T00:00:00"/>
    <x v="1"/>
    <n v="15"/>
    <x v="0"/>
    <x v="0"/>
    <n v="30"/>
    <x v="0"/>
    <n v="20"/>
    <n v="3"/>
    <n v="62"/>
  </r>
  <r>
    <n v="3420"/>
    <s v="Beatriz Souza"/>
    <x v="2"/>
    <d v="2024-09-02T00:00:00"/>
    <x v="0"/>
    <n v="10"/>
    <x v="1"/>
    <x v="1"/>
    <s v="-"/>
    <x v="0"/>
    <n v="20"/>
    <n v="15"/>
    <n v="15"/>
  </r>
  <r>
    <n v="3421"/>
    <s v="Caio Pereira"/>
    <x v="1"/>
    <d v="2024-09-03T00:00:00"/>
    <x v="1"/>
    <n v="5"/>
    <x v="0"/>
    <x v="1"/>
    <s v="-"/>
    <x v="1"/>
    <n v="0"/>
    <n v="1"/>
    <n v="4"/>
  </r>
  <r>
    <n v="3422"/>
    <s v="Daniela Araújo"/>
    <x v="0"/>
    <d v="2024-09-04T00:00:00"/>
    <x v="0"/>
    <n v="15"/>
    <x v="2"/>
    <x v="0"/>
    <n v="30"/>
    <x v="0"/>
    <n v="20"/>
    <n v="7"/>
    <n v="58"/>
  </r>
  <r>
    <n v="3423"/>
    <s v="Eduardo Santos"/>
    <x v="2"/>
    <d v="2024-09-05T00:00:00"/>
    <x v="1"/>
    <n v="10"/>
    <x v="0"/>
    <x v="1"/>
    <s v="-"/>
    <x v="0"/>
    <n v="20"/>
    <n v="10"/>
    <n v="20"/>
  </r>
  <r>
    <n v="3424"/>
    <s v="Fernanda Lima"/>
    <x v="1"/>
    <d v="2024-09-06T00:00:00"/>
    <x v="0"/>
    <n v="5"/>
    <x v="1"/>
    <x v="1"/>
    <s v="-"/>
    <x v="1"/>
    <n v="0"/>
    <n v="0"/>
    <n v="5"/>
  </r>
  <r>
    <n v="3425"/>
    <s v="Gabriel Teixeira"/>
    <x v="0"/>
    <d v="2024-09-07T00:00:00"/>
    <x v="1"/>
    <n v="15"/>
    <x v="0"/>
    <x v="0"/>
    <n v="30"/>
    <x v="0"/>
    <n v="20"/>
    <n v="20"/>
    <n v="45"/>
  </r>
  <r>
    <n v="3426"/>
    <s v="Helena Ribeiro"/>
    <x v="2"/>
    <d v="2024-09-08T00:00:00"/>
    <x v="0"/>
    <n v="10"/>
    <x v="2"/>
    <x v="1"/>
    <s v="-"/>
    <x v="0"/>
    <n v="20"/>
    <n v="15"/>
    <n v="15"/>
  </r>
  <r>
    <n v="3427"/>
    <s v="Igor Mendes"/>
    <x v="1"/>
    <d v="2024-09-09T00:00:00"/>
    <x v="1"/>
    <n v="5"/>
    <x v="0"/>
    <x v="1"/>
    <s v="-"/>
    <x v="1"/>
    <n v="0"/>
    <n v="1"/>
    <n v="4"/>
  </r>
  <r>
    <n v="3428"/>
    <s v="Joana Silveira"/>
    <x v="0"/>
    <d v="2024-09-10T00:00:00"/>
    <x v="0"/>
    <n v="15"/>
    <x v="1"/>
    <x v="0"/>
    <n v="30"/>
    <x v="0"/>
    <n v="20"/>
    <n v="3"/>
    <n v="62"/>
  </r>
  <r>
    <n v="3429"/>
    <s v="Lucas Martins"/>
    <x v="2"/>
    <d v="2024-09-11T00:00:00"/>
    <x v="1"/>
    <n v="10"/>
    <x v="0"/>
    <x v="1"/>
    <s v="-"/>
    <x v="0"/>
    <n v="20"/>
    <n v="10"/>
    <n v="20"/>
  </r>
  <r>
    <n v="3430"/>
    <s v="Marcela Gouveia"/>
    <x v="1"/>
    <d v="2024-09-12T00:00:00"/>
    <x v="0"/>
    <n v="5"/>
    <x v="2"/>
    <x v="1"/>
    <s v="-"/>
    <x v="1"/>
    <n v="0"/>
    <n v="0"/>
    <n v="5"/>
  </r>
  <r>
    <n v="3431"/>
    <s v="Nicolas Borges"/>
    <x v="0"/>
    <d v="2024-09-13T00:00:00"/>
    <x v="1"/>
    <n v="15"/>
    <x v="0"/>
    <x v="0"/>
    <n v="30"/>
    <x v="0"/>
    <n v="20"/>
    <n v="15"/>
    <n v="50"/>
  </r>
  <r>
    <n v="3432"/>
    <s v="Olivia Freitas"/>
    <x v="2"/>
    <d v="2024-09-14T00:00:00"/>
    <x v="0"/>
    <n v="10"/>
    <x v="1"/>
    <x v="1"/>
    <s v="-"/>
    <x v="0"/>
    <n v="20"/>
    <n v="15"/>
    <n v="15"/>
  </r>
  <r>
    <n v="3433"/>
    <s v="Paulo Nogueira"/>
    <x v="1"/>
    <d v="2024-09-15T00:00:00"/>
    <x v="1"/>
    <n v="5"/>
    <x v="0"/>
    <x v="1"/>
    <s v="-"/>
    <x v="1"/>
    <n v="0"/>
    <n v="1"/>
    <n v="4"/>
  </r>
  <r>
    <n v="3434"/>
    <s v="Raquel Andrade"/>
    <x v="0"/>
    <d v="2024-09-16T00:00:00"/>
    <x v="0"/>
    <n v="15"/>
    <x v="2"/>
    <x v="0"/>
    <n v="30"/>
    <x v="0"/>
    <n v="20"/>
    <n v="7"/>
    <n v="58"/>
  </r>
  <r>
    <n v="3435"/>
    <s v="Sônia Carvalho"/>
    <x v="2"/>
    <d v="2024-09-17T00:00:00"/>
    <x v="1"/>
    <n v="10"/>
    <x v="0"/>
    <x v="1"/>
    <s v="-"/>
    <x v="0"/>
    <n v="20"/>
    <n v="10"/>
    <n v="20"/>
  </r>
  <r>
    <n v="3436"/>
    <s v="Tiago Rodrigues"/>
    <x v="1"/>
    <d v="2024-09-18T00:00:00"/>
    <x v="0"/>
    <n v="5"/>
    <x v="0"/>
    <x v="1"/>
    <s v="-"/>
    <x v="1"/>
    <n v="0"/>
    <n v="0"/>
    <n v="5"/>
  </r>
  <r>
    <n v="3437"/>
    <s v="Ursula Monteiro"/>
    <x v="0"/>
    <d v="2024-09-19T00:00:00"/>
    <x v="1"/>
    <n v="15"/>
    <x v="2"/>
    <x v="0"/>
    <n v="30"/>
    <x v="0"/>
    <n v="20"/>
    <n v="7"/>
    <n v="58"/>
  </r>
  <r>
    <n v="3438"/>
    <s v="Vanessa Pereira"/>
    <x v="2"/>
    <d v="2024-09-20T00:00:00"/>
    <x v="0"/>
    <n v="10"/>
    <x v="1"/>
    <x v="1"/>
    <s v="-"/>
    <x v="0"/>
    <n v="20"/>
    <n v="10"/>
    <n v="20"/>
  </r>
  <r>
    <n v="3439"/>
    <s v="Walter Silva"/>
    <x v="1"/>
    <d v="2024-09-21T00:00:00"/>
    <x v="1"/>
    <n v="5"/>
    <x v="2"/>
    <x v="1"/>
    <s v="-"/>
    <x v="1"/>
    <n v="0"/>
    <n v="1"/>
    <n v="4"/>
  </r>
  <r>
    <n v="3440"/>
    <s v="Xavier Almeida"/>
    <x v="0"/>
    <d v="2024-09-22T00:00:00"/>
    <x v="0"/>
    <n v="15"/>
    <x v="0"/>
    <x v="0"/>
    <n v="30"/>
    <x v="0"/>
    <n v="20"/>
    <n v="15"/>
    <n v="50"/>
  </r>
  <r>
    <n v="3441"/>
    <s v="Yasmine Correia"/>
    <x v="2"/>
    <d v="2024-09-23T00:00:00"/>
    <x v="1"/>
    <n v="10"/>
    <x v="0"/>
    <x v="1"/>
    <s v="-"/>
    <x v="0"/>
    <n v="20"/>
    <n v="5"/>
    <n v="25"/>
  </r>
  <r>
    <n v="3442"/>
    <s v="Zacarias Almeida"/>
    <x v="1"/>
    <d v="2024-09-24T00:00:00"/>
    <x v="0"/>
    <n v="5"/>
    <x v="1"/>
    <x v="1"/>
    <s v="-"/>
    <x v="1"/>
    <n v="0"/>
    <n v="0"/>
    <n v="5"/>
  </r>
  <r>
    <n v="3443"/>
    <s v="Amanda Costa"/>
    <x v="0"/>
    <d v="2024-09-25T00:00:00"/>
    <x v="1"/>
    <n v="15"/>
    <x v="2"/>
    <x v="0"/>
    <n v="30"/>
    <x v="0"/>
    <n v="20"/>
    <n v="20"/>
    <n v="45"/>
  </r>
  <r>
    <n v="3444"/>
    <s v="Bruno Ferreira"/>
    <x v="2"/>
    <d v="2024-09-26T00:00:00"/>
    <x v="0"/>
    <n v="10"/>
    <x v="2"/>
    <x v="1"/>
    <s v="-"/>
    <x v="0"/>
    <n v="20"/>
    <n v="12"/>
    <n v="18"/>
  </r>
  <r>
    <n v="3445"/>
    <s v="Carla Dias"/>
    <x v="1"/>
    <d v="2024-09-27T00:00:00"/>
    <x v="1"/>
    <n v="5"/>
    <x v="0"/>
    <x v="1"/>
    <s v="-"/>
    <x v="1"/>
    <n v="0"/>
    <n v="2"/>
    <n v="3"/>
  </r>
  <r>
    <n v="3446"/>
    <s v="Diogo Martins"/>
    <x v="0"/>
    <d v="2024-09-28T00:00:00"/>
    <x v="0"/>
    <n v="15"/>
    <x v="1"/>
    <x v="0"/>
    <n v="30"/>
    <x v="0"/>
    <n v="20"/>
    <n v="5"/>
    <n v="60"/>
  </r>
  <r>
    <n v="3447"/>
    <s v="Elisa Campos"/>
    <x v="2"/>
    <d v="2024-09-29T00:00:00"/>
    <x v="1"/>
    <n v="10"/>
    <x v="0"/>
    <x v="1"/>
    <s v="-"/>
    <x v="0"/>
    <n v="20"/>
    <n v="10"/>
    <n v="20"/>
  </r>
  <r>
    <n v="3448"/>
    <s v="Fabiana Lima"/>
    <x v="1"/>
    <d v="2024-09-30T00:00:00"/>
    <x v="0"/>
    <n v="5"/>
    <x v="2"/>
    <x v="1"/>
    <s v="-"/>
    <x v="1"/>
    <n v="0"/>
    <n v="0"/>
    <n v="5"/>
  </r>
  <r>
    <n v="3449"/>
    <s v="Gabriel Santos"/>
    <x v="0"/>
    <d v="2024-10-01T00:00:00"/>
    <x v="1"/>
    <n v="15"/>
    <x v="0"/>
    <x v="0"/>
    <n v="30"/>
    <x v="0"/>
    <n v="20"/>
    <n v="3"/>
    <n v="62"/>
  </r>
  <r>
    <n v="3450"/>
    <s v="Helena Ferreira"/>
    <x v="2"/>
    <d v="2024-10-02T00:00:00"/>
    <x v="0"/>
    <n v="10"/>
    <x v="1"/>
    <x v="1"/>
    <s v="-"/>
    <x v="0"/>
    <n v="20"/>
    <n v="15"/>
    <n v="15"/>
  </r>
  <r>
    <n v="3451"/>
    <s v="Ígor Nunes"/>
    <x v="1"/>
    <d v="2024-10-03T00:00:00"/>
    <x v="1"/>
    <n v="5"/>
    <x v="0"/>
    <x v="1"/>
    <s v="-"/>
    <x v="1"/>
    <n v="0"/>
    <n v="1"/>
    <n v="4"/>
  </r>
  <r>
    <n v="3452"/>
    <s v="Joana Silveira"/>
    <x v="0"/>
    <d v="2024-10-04T00:00:00"/>
    <x v="0"/>
    <n v="15"/>
    <x v="2"/>
    <x v="0"/>
    <n v="30"/>
    <x v="0"/>
    <n v="20"/>
    <n v="7"/>
    <n v="58"/>
  </r>
  <r>
    <n v="3453"/>
    <s v="Kléber Oliveira"/>
    <x v="2"/>
    <d v="2024-10-05T00:00:00"/>
    <x v="1"/>
    <n v="10"/>
    <x v="0"/>
    <x v="1"/>
    <s v="-"/>
    <x v="0"/>
    <n v="20"/>
    <n v="10"/>
    <n v="20"/>
  </r>
  <r>
    <n v="3454"/>
    <s v="Luciana Morais"/>
    <x v="1"/>
    <d v="2024-10-06T00:00:00"/>
    <x v="0"/>
    <n v="5"/>
    <x v="1"/>
    <x v="1"/>
    <s v="-"/>
    <x v="1"/>
    <n v="0"/>
    <n v="0"/>
    <n v="5"/>
  </r>
  <r>
    <n v="3455"/>
    <s v="Marcos Vinícius"/>
    <x v="0"/>
    <d v="2024-10-07T00:00:00"/>
    <x v="1"/>
    <n v="15"/>
    <x v="0"/>
    <x v="0"/>
    <n v="30"/>
    <x v="0"/>
    <n v="20"/>
    <n v="20"/>
    <n v="45"/>
  </r>
  <r>
    <n v="3456"/>
    <s v="Natália Barros"/>
    <x v="2"/>
    <d v="2024-10-08T00:00:00"/>
    <x v="0"/>
    <n v="10"/>
    <x v="2"/>
    <x v="1"/>
    <s v="-"/>
    <x v="0"/>
    <n v="20"/>
    <n v="15"/>
    <n v="15"/>
  </r>
  <r>
    <n v="3457"/>
    <s v="Oscar Sampaio"/>
    <x v="1"/>
    <d v="2024-10-09T00:00:00"/>
    <x v="1"/>
    <n v="5"/>
    <x v="0"/>
    <x v="1"/>
    <s v="-"/>
    <x v="1"/>
    <n v="0"/>
    <n v="1"/>
    <n v="4"/>
  </r>
  <r>
    <n v="3458"/>
    <s v="Patrícia Leite"/>
    <x v="0"/>
    <d v="2024-10-10T00:00:00"/>
    <x v="0"/>
    <n v="15"/>
    <x v="1"/>
    <x v="0"/>
    <n v="30"/>
    <x v="0"/>
    <n v="20"/>
    <n v="3"/>
    <n v="62"/>
  </r>
  <r>
    <n v="3459"/>
    <s v="Quênia Rocha"/>
    <x v="2"/>
    <d v="2024-10-11T00:00:00"/>
    <x v="1"/>
    <n v="10"/>
    <x v="0"/>
    <x v="1"/>
    <s v="-"/>
    <x v="0"/>
    <n v="20"/>
    <n v="10"/>
    <n v="20"/>
  </r>
  <r>
    <n v="3460"/>
    <s v="Rafael Torres"/>
    <x v="1"/>
    <d v="2024-10-12T00:00:00"/>
    <x v="0"/>
    <n v="5"/>
    <x v="2"/>
    <x v="1"/>
    <s v="-"/>
    <x v="1"/>
    <n v="0"/>
    <n v="0"/>
    <n v="5"/>
  </r>
  <r>
    <n v="3461"/>
    <s v="Sandra Gouveia"/>
    <x v="0"/>
    <d v="2024-10-13T00:00:00"/>
    <x v="1"/>
    <n v="15"/>
    <x v="0"/>
    <x v="0"/>
    <n v="30"/>
    <x v="0"/>
    <n v="20"/>
    <n v="15"/>
    <n v="50"/>
  </r>
  <r>
    <n v="3462"/>
    <s v="Tiago Lacerda"/>
    <x v="2"/>
    <d v="2024-10-14T00:00:00"/>
    <x v="0"/>
    <n v="10"/>
    <x v="1"/>
    <x v="1"/>
    <s v="-"/>
    <x v="0"/>
    <n v="20"/>
    <n v="15"/>
    <n v="15"/>
  </r>
  <r>
    <n v="3463"/>
    <s v="Ursula Fonseca"/>
    <x v="1"/>
    <d v="2024-10-15T00:00:00"/>
    <x v="1"/>
    <n v="5"/>
    <x v="0"/>
    <x v="1"/>
    <s v="-"/>
    <x v="1"/>
    <n v="0"/>
    <n v="1"/>
    <n v="4"/>
  </r>
  <r>
    <n v="3464"/>
    <s v="Vanessa Andrade"/>
    <x v="0"/>
    <d v="2024-10-16T00:00:00"/>
    <x v="0"/>
    <n v="15"/>
    <x v="2"/>
    <x v="0"/>
    <n v="30"/>
    <x v="0"/>
    <n v="20"/>
    <n v="7"/>
    <n v="58"/>
  </r>
  <r>
    <n v="3465"/>
    <s v="William Castro"/>
    <x v="2"/>
    <d v="2024-10-17T00:00:00"/>
    <x v="1"/>
    <n v="10"/>
    <x v="0"/>
    <x v="1"/>
    <s v="-"/>
    <x v="0"/>
    <n v="20"/>
    <n v="10"/>
    <n v="20"/>
  </r>
  <r>
    <n v="3466"/>
    <s v="Xavier Monteiro"/>
    <x v="1"/>
    <d v="2024-10-18T00:00:00"/>
    <x v="0"/>
    <n v="5"/>
    <x v="1"/>
    <x v="1"/>
    <s v="-"/>
    <x v="1"/>
    <n v="0"/>
    <n v="0"/>
    <n v="5"/>
  </r>
  <r>
    <n v="3467"/>
    <s v="Yasmin Figueira"/>
    <x v="0"/>
    <d v="2024-10-19T00:00:00"/>
    <x v="1"/>
    <n v="15"/>
    <x v="0"/>
    <x v="0"/>
    <n v="30"/>
    <x v="0"/>
    <n v="20"/>
    <n v="15"/>
    <n v="50"/>
  </r>
  <r>
    <n v="3468"/>
    <s v="Zacarias Mendonça"/>
    <x v="2"/>
    <d v="2024-10-20T00:00:00"/>
    <x v="0"/>
    <n v="10"/>
    <x v="2"/>
    <x v="1"/>
    <s v="-"/>
    <x v="0"/>
    <n v="20"/>
    <n v="12"/>
    <n v="18"/>
  </r>
  <r>
    <n v="3469"/>
    <s v="Amanda Menezes"/>
    <x v="1"/>
    <d v="2024-10-21T00:00:00"/>
    <x v="1"/>
    <n v="5"/>
    <x v="0"/>
    <x v="1"/>
    <s v="-"/>
    <x v="1"/>
    <n v="0"/>
    <n v="2"/>
    <n v="3"/>
  </r>
  <r>
    <n v="3470"/>
    <s v="Bruno Santos"/>
    <x v="0"/>
    <d v="2024-10-22T00:00:00"/>
    <x v="0"/>
    <n v="15"/>
    <x v="1"/>
    <x v="0"/>
    <n v="30"/>
    <x v="0"/>
    <n v="20"/>
    <n v="5"/>
    <n v="60"/>
  </r>
  <r>
    <n v="3471"/>
    <s v="Carla Ferreira"/>
    <x v="2"/>
    <d v="2024-10-23T00:00:00"/>
    <x v="1"/>
    <n v="10"/>
    <x v="0"/>
    <x v="1"/>
    <s v="-"/>
    <x v="0"/>
    <n v="20"/>
    <n v="10"/>
    <n v="20"/>
  </r>
  <r>
    <n v="3472"/>
    <s v="Diogo Alves"/>
    <x v="1"/>
    <d v="2024-10-24T00:00:00"/>
    <x v="0"/>
    <n v="5"/>
    <x v="2"/>
    <x v="1"/>
    <s v="-"/>
    <x v="1"/>
    <n v="0"/>
    <n v="0"/>
    <n v="5"/>
  </r>
  <r>
    <n v="3473"/>
    <s v="Elisa Neves"/>
    <x v="0"/>
    <d v="2024-10-25T00:00:00"/>
    <x v="1"/>
    <n v="15"/>
    <x v="0"/>
    <x v="0"/>
    <n v="30"/>
    <x v="0"/>
    <n v="20"/>
    <n v="3"/>
    <n v="62"/>
  </r>
  <r>
    <n v="3474"/>
    <s v="Fabiano Pires"/>
    <x v="2"/>
    <d v="2024-10-26T00:00:00"/>
    <x v="0"/>
    <n v="10"/>
    <x v="1"/>
    <x v="1"/>
    <s v="-"/>
    <x v="0"/>
    <n v="20"/>
    <n v="15"/>
    <n v="15"/>
  </r>
  <r>
    <n v="3475"/>
    <s v="Giovana Ribeiro"/>
    <x v="1"/>
    <d v="2024-10-27T00:00:00"/>
    <x v="1"/>
    <n v="5"/>
    <x v="0"/>
    <x v="1"/>
    <s v="-"/>
    <x v="1"/>
    <n v="0"/>
    <n v="1"/>
    <n v="4"/>
  </r>
  <r>
    <n v="3476"/>
    <s v="Hélio Costa"/>
    <x v="0"/>
    <d v="2024-10-28T00:00:00"/>
    <x v="0"/>
    <n v="15"/>
    <x v="2"/>
    <x v="0"/>
    <n v="30"/>
    <x v="0"/>
    <n v="20"/>
    <n v="7"/>
    <n v="58"/>
  </r>
  <r>
    <n v="3477"/>
    <s v="Íris Loureiro"/>
    <x v="2"/>
    <d v="2024-10-29T00:00:00"/>
    <x v="1"/>
    <n v="10"/>
    <x v="0"/>
    <x v="1"/>
    <s v="-"/>
    <x v="0"/>
    <n v="20"/>
    <n v="10"/>
    <n v="20"/>
  </r>
  <r>
    <n v="3478"/>
    <s v="João Pereira"/>
    <x v="1"/>
    <d v="2024-10-30T00:00:00"/>
    <x v="0"/>
    <n v="5"/>
    <x v="1"/>
    <x v="1"/>
    <s v="-"/>
    <x v="1"/>
    <n v="0"/>
    <n v="0"/>
    <n v="5"/>
  </r>
  <r>
    <n v="3479"/>
    <s v="Klara Silva"/>
    <x v="0"/>
    <d v="2024-10-31T00:00:00"/>
    <x v="1"/>
    <n v="15"/>
    <x v="0"/>
    <x v="0"/>
    <n v="30"/>
    <x v="0"/>
    <n v="20"/>
    <n v="20"/>
    <n v="45"/>
  </r>
  <r>
    <n v="3480"/>
    <s v="Luciana Barros"/>
    <x v="2"/>
    <d v="2024-11-01T00:00:00"/>
    <x v="0"/>
    <n v="10"/>
    <x v="2"/>
    <x v="1"/>
    <s v="-"/>
    <x v="0"/>
    <n v="20"/>
    <n v="15"/>
    <n v="15"/>
  </r>
  <r>
    <n v="3481"/>
    <s v="Marcos Gomes"/>
    <x v="1"/>
    <d v="2024-11-02T00:00:00"/>
    <x v="1"/>
    <n v="5"/>
    <x v="0"/>
    <x v="1"/>
    <s v="-"/>
    <x v="1"/>
    <n v="0"/>
    <n v="1"/>
    <n v="4"/>
  </r>
  <r>
    <n v="3482"/>
    <s v="Natália Soares"/>
    <x v="0"/>
    <d v="2024-11-03T00:00:00"/>
    <x v="0"/>
    <n v="15"/>
    <x v="1"/>
    <x v="0"/>
    <n v="30"/>
    <x v="0"/>
    <n v="20"/>
    <n v="3"/>
    <n v="62"/>
  </r>
  <r>
    <n v="3483"/>
    <s v="Oscar Machado"/>
    <x v="2"/>
    <d v="2024-11-04T00:00:00"/>
    <x v="1"/>
    <n v="10"/>
    <x v="0"/>
    <x v="1"/>
    <s v="-"/>
    <x v="0"/>
    <n v="20"/>
    <n v="10"/>
    <n v="20"/>
  </r>
  <r>
    <n v="3484"/>
    <s v="Patrícia Lima"/>
    <x v="1"/>
    <d v="2024-11-05T00:00:00"/>
    <x v="0"/>
    <n v="5"/>
    <x v="2"/>
    <x v="1"/>
    <s v="-"/>
    <x v="1"/>
    <n v="0"/>
    <n v="0"/>
    <n v="5"/>
  </r>
  <r>
    <n v="3485"/>
    <s v="Quirino Neto"/>
    <x v="0"/>
    <d v="2024-11-06T00:00:00"/>
    <x v="1"/>
    <n v="15"/>
    <x v="0"/>
    <x v="0"/>
    <n v="30"/>
    <x v="0"/>
    <n v="20"/>
    <n v="15"/>
    <n v="50"/>
  </r>
  <r>
    <n v="3486"/>
    <s v="Rafaela Souza"/>
    <x v="1"/>
    <d v="2024-11-07T00:00:00"/>
    <x v="0"/>
    <n v="5"/>
    <x v="0"/>
    <x v="1"/>
    <s v="-"/>
    <x v="1"/>
    <n v="0"/>
    <n v="0"/>
    <n v="5"/>
  </r>
  <r>
    <n v="3487"/>
    <s v="Sandro Almeida"/>
    <x v="0"/>
    <d v="2024-11-08T00:00:00"/>
    <x v="1"/>
    <n v="15"/>
    <x v="2"/>
    <x v="0"/>
    <n v="30"/>
    <x v="0"/>
    <n v="20"/>
    <n v="7"/>
    <n v="58"/>
  </r>
  <r>
    <n v="3488"/>
    <s v="Tânia Ribeiro"/>
    <x v="2"/>
    <d v="2024-11-09T00:00:00"/>
    <x v="0"/>
    <n v="10"/>
    <x v="1"/>
    <x v="1"/>
    <s v="-"/>
    <x v="0"/>
    <n v="20"/>
    <n v="10"/>
    <n v="20"/>
  </r>
  <r>
    <n v="3489"/>
    <s v="Ugo Dias"/>
    <x v="1"/>
    <d v="2024-11-10T00:00:00"/>
    <x v="1"/>
    <n v="5"/>
    <x v="2"/>
    <x v="1"/>
    <s v="-"/>
    <x v="1"/>
    <n v="0"/>
    <n v="1"/>
    <n v="4"/>
  </r>
  <r>
    <n v="3490"/>
    <s v="Valéria Lima"/>
    <x v="0"/>
    <d v="2024-11-11T00:00:00"/>
    <x v="0"/>
    <n v="15"/>
    <x v="0"/>
    <x v="0"/>
    <n v="30"/>
    <x v="0"/>
    <n v="20"/>
    <n v="15"/>
    <n v="50"/>
  </r>
  <r>
    <n v="3491"/>
    <s v="William Fernandes"/>
    <x v="2"/>
    <d v="2024-11-12T00:00:00"/>
    <x v="1"/>
    <n v="10"/>
    <x v="0"/>
    <x v="1"/>
    <s v="-"/>
    <x v="0"/>
    <n v="20"/>
    <n v="5"/>
    <n v="25"/>
  </r>
  <r>
    <n v="3492"/>
    <s v="Xuxa Mendes"/>
    <x v="1"/>
    <d v="2024-11-13T00:00:00"/>
    <x v="0"/>
    <n v="5"/>
    <x v="1"/>
    <x v="1"/>
    <s v="-"/>
    <x v="1"/>
    <n v="0"/>
    <n v="0"/>
    <n v="5"/>
  </r>
  <r>
    <n v="3493"/>
    <s v="Ygor Farias"/>
    <x v="0"/>
    <d v="2024-11-14T00:00:00"/>
    <x v="1"/>
    <n v="15"/>
    <x v="2"/>
    <x v="0"/>
    <n v="30"/>
    <x v="0"/>
    <n v="20"/>
    <n v="20"/>
    <n v="45"/>
  </r>
  <r>
    <n v="3494"/>
    <s v="Zilda Barros"/>
    <x v="2"/>
    <d v="2024-11-15T00:00:00"/>
    <x v="0"/>
    <n v="10"/>
    <x v="2"/>
    <x v="1"/>
    <s v="-"/>
    <x v="0"/>
    <n v="20"/>
    <n v="12"/>
    <n v="18"/>
  </r>
  <r>
    <n v="3495"/>
    <s v="Amanda Santos"/>
    <x v="1"/>
    <d v="2024-11-16T00:00:00"/>
    <x v="1"/>
    <n v="5"/>
    <x v="0"/>
    <x v="1"/>
    <s v="-"/>
    <x v="1"/>
    <n v="0"/>
    <n v="2"/>
    <n v="3"/>
  </r>
  <r>
    <n v="3496"/>
    <s v="Bruno Costa"/>
    <x v="0"/>
    <d v="2024-11-17T00:00:00"/>
    <x v="0"/>
    <n v="15"/>
    <x v="1"/>
    <x v="0"/>
    <n v="30"/>
    <x v="0"/>
    <n v="20"/>
    <n v="5"/>
    <n v="60"/>
  </r>
  <r>
    <n v="3497"/>
    <s v="Carla Rodrigues"/>
    <x v="2"/>
    <d v="2024-11-18T00:00:00"/>
    <x v="1"/>
    <n v="10"/>
    <x v="0"/>
    <x v="1"/>
    <s v="-"/>
    <x v="0"/>
    <n v="20"/>
    <n v="10"/>
    <n v="20"/>
  </r>
  <r>
    <n v="3498"/>
    <s v="Diogo Pereira"/>
    <x v="1"/>
    <d v="2024-11-19T00:00:00"/>
    <x v="0"/>
    <n v="5"/>
    <x v="2"/>
    <x v="1"/>
    <s v="-"/>
    <x v="1"/>
    <n v="0"/>
    <n v="0"/>
    <n v="5"/>
  </r>
  <r>
    <n v="3499"/>
    <s v="Elisa Correia"/>
    <x v="0"/>
    <d v="2024-11-20T00:00:00"/>
    <x v="1"/>
    <n v="15"/>
    <x v="0"/>
    <x v="0"/>
    <n v="30"/>
    <x v="0"/>
    <n v="20"/>
    <n v="3"/>
    <n v="62"/>
  </r>
  <r>
    <n v="3500"/>
    <s v="Fábio Lourenço"/>
    <x v="2"/>
    <d v="2024-11-21T00:00:00"/>
    <x v="0"/>
    <n v="10"/>
    <x v="1"/>
    <x v="1"/>
    <s v="-"/>
    <x v="0"/>
    <n v="20"/>
    <n v="15"/>
    <n v="15"/>
  </r>
  <r>
    <n v="3501"/>
    <s v="Gabriela Neves"/>
    <x v="1"/>
    <d v="2024-11-22T00:00:00"/>
    <x v="1"/>
    <n v="5"/>
    <x v="0"/>
    <x v="1"/>
    <s v="-"/>
    <x v="1"/>
    <n v="0"/>
    <n v="1"/>
    <n v="4"/>
  </r>
  <r>
    <n v="3502"/>
    <s v="Henrique Gonçalves"/>
    <x v="0"/>
    <d v="2024-11-23T00:00:00"/>
    <x v="0"/>
    <n v="15"/>
    <x v="2"/>
    <x v="0"/>
    <n v="30"/>
    <x v="0"/>
    <n v="20"/>
    <n v="7"/>
    <n v="58"/>
  </r>
  <r>
    <n v="3503"/>
    <s v="Íris Santos"/>
    <x v="2"/>
    <d v="2024-11-24T00:00:00"/>
    <x v="1"/>
    <n v="10"/>
    <x v="0"/>
    <x v="1"/>
    <s v="-"/>
    <x v="0"/>
    <n v="20"/>
    <n v="10"/>
    <n v="20"/>
  </r>
  <r>
    <n v="3504"/>
    <s v="João Marcelo Alves"/>
    <x v="1"/>
    <d v="2024-11-25T00:00:00"/>
    <x v="0"/>
    <n v="5"/>
    <x v="1"/>
    <x v="1"/>
    <s v="-"/>
    <x v="1"/>
    <n v="0"/>
    <n v="0"/>
    <n v="5"/>
  </r>
  <r>
    <n v="3505"/>
    <s v="Klara Fonseca"/>
    <x v="0"/>
    <d v="2024-11-26T00:00:00"/>
    <x v="1"/>
    <n v="15"/>
    <x v="0"/>
    <x v="0"/>
    <n v="30"/>
    <x v="0"/>
    <n v="20"/>
    <n v="20"/>
    <n v="45"/>
  </r>
  <r>
    <n v="3506"/>
    <s v="Lucas Mendonça"/>
    <x v="2"/>
    <d v="2024-11-27T00:00:00"/>
    <x v="0"/>
    <n v="10"/>
    <x v="2"/>
    <x v="1"/>
    <s v="-"/>
    <x v="0"/>
    <n v="20"/>
    <n v="15"/>
    <n v="15"/>
  </r>
  <r>
    <n v="3507"/>
    <s v="Marcela Torres"/>
    <x v="1"/>
    <d v="2024-11-28T00:00:00"/>
    <x v="1"/>
    <n v="5"/>
    <x v="0"/>
    <x v="1"/>
    <s v="-"/>
    <x v="1"/>
    <n v="0"/>
    <n v="1"/>
    <n v="4"/>
  </r>
  <r>
    <n v="3508"/>
    <s v="Natália Castro"/>
    <x v="0"/>
    <d v="2024-11-29T00:00:00"/>
    <x v="0"/>
    <n v="15"/>
    <x v="1"/>
    <x v="0"/>
    <n v="30"/>
    <x v="0"/>
    <n v="20"/>
    <n v="3"/>
    <n v="62"/>
  </r>
  <r>
    <n v="3509"/>
    <s v="Oscar Martins"/>
    <x v="2"/>
    <d v="2024-11-30T00:00:00"/>
    <x v="1"/>
    <n v="10"/>
    <x v="0"/>
    <x v="1"/>
    <s v="-"/>
    <x v="0"/>
    <n v="20"/>
    <n v="10"/>
    <n v="20"/>
  </r>
  <r>
    <n v="3510"/>
    <s v="Patrícia Oliveira"/>
    <x v="1"/>
    <d v="2024-12-01T00:00:00"/>
    <x v="0"/>
    <n v="5"/>
    <x v="2"/>
    <x v="1"/>
    <s v="-"/>
    <x v="1"/>
    <n v="0"/>
    <n v="0"/>
    <n v="5"/>
  </r>
  <r>
    <n v="3511"/>
    <s v="Quentin Nogueira"/>
    <x v="0"/>
    <d v="2024-12-02T00:00:00"/>
    <x v="1"/>
    <n v="15"/>
    <x v="0"/>
    <x v="0"/>
    <n v="30"/>
    <x v="0"/>
    <n v="20"/>
    <n v="15"/>
    <n v="50"/>
  </r>
  <r>
    <n v="3512"/>
    <s v="Raquel Silva"/>
    <x v="2"/>
    <d v="2024-12-03T00:00:00"/>
    <x v="0"/>
    <n v="10"/>
    <x v="1"/>
    <x v="1"/>
    <s v="-"/>
    <x v="0"/>
    <n v="20"/>
    <n v="15"/>
    <n v="15"/>
  </r>
  <r>
    <n v="3513"/>
    <s v="Sandro Gomes"/>
    <x v="1"/>
    <d v="2024-12-04T00:00:00"/>
    <x v="1"/>
    <n v="5"/>
    <x v="0"/>
    <x v="1"/>
    <s v="-"/>
    <x v="1"/>
    <n v="0"/>
    <n v="1"/>
    <n v="4"/>
  </r>
  <r>
    <n v="3514"/>
    <s v="Tânia Machado"/>
    <x v="0"/>
    <d v="2024-12-05T00:00:00"/>
    <x v="0"/>
    <n v="15"/>
    <x v="2"/>
    <x v="0"/>
    <n v="30"/>
    <x v="0"/>
    <n v="20"/>
    <n v="7"/>
    <n v="58"/>
  </r>
  <r>
    <n v="3515"/>
    <s v="Ursula Silva"/>
    <x v="2"/>
    <d v="2024-12-06T00:00:00"/>
    <x v="1"/>
    <n v="10"/>
    <x v="0"/>
    <x v="1"/>
    <s v="-"/>
    <x v="0"/>
    <n v="20"/>
    <n v="10"/>
    <n v="20"/>
  </r>
  <r>
    <n v="3516"/>
    <s v="Vanessa Moraes"/>
    <x v="1"/>
    <d v="2024-12-07T00:00:00"/>
    <x v="0"/>
    <n v="5"/>
    <x v="1"/>
    <x v="1"/>
    <s v="-"/>
    <x v="1"/>
    <n v="0"/>
    <n v="0"/>
    <n v="5"/>
  </r>
  <r>
    <n v="3517"/>
    <s v="William Carvalho"/>
    <x v="0"/>
    <d v="2024-12-08T00:00:00"/>
    <x v="1"/>
    <n v="15"/>
    <x v="0"/>
    <x v="0"/>
    <n v="30"/>
    <x v="0"/>
    <n v="20"/>
    <n v="20"/>
    <n v="45"/>
  </r>
  <r>
    <n v="3518"/>
    <s v="Xavier Reis"/>
    <x v="2"/>
    <d v="2024-12-09T00:00:00"/>
    <x v="0"/>
    <n v="10"/>
    <x v="2"/>
    <x v="1"/>
    <s v="-"/>
    <x v="0"/>
    <n v="20"/>
    <n v="12"/>
    <n v="18"/>
  </r>
  <r>
    <n v="3519"/>
    <s v="Yasmin Rocha"/>
    <x v="1"/>
    <d v="2024-12-10T00:00:00"/>
    <x v="1"/>
    <n v="5"/>
    <x v="0"/>
    <x v="1"/>
    <s v="-"/>
    <x v="1"/>
    <n v="0"/>
    <n v="2"/>
    <n v="3"/>
  </r>
  <r>
    <n v="3520"/>
    <s v="Zacarias Duarte"/>
    <x v="0"/>
    <d v="2024-12-11T00:00:00"/>
    <x v="0"/>
    <n v="15"/>
    <x v="1"/>
    <x v="0"/>
    <n v="30"/>
    <x v="0"/>
    <n v="20"/>
    <n v="5"/>
    <n v="60"/>
  </r>
  <r>
    <n v="3521"/>
    <s v="Amanda Freitas"/>
    <x v="2"/>
    <d v="2024-12-12T00:00:00"/>
    <x v="1"/>
    <n v="10"/>
    <x v="0"/>
    <x v="1"/>
    <s v="-"/>
    <x v="0"/>
    <n v="20"/>
    <n v="10"/>
    <n v="20"/>
  </r>
  <r>
    <n v="3522"/>
    <s v="Bruno Almeida"/>
    <x v="1"/>
    <d v="2024-12-13T00:00:00"/>
    <x v="0"/>
    <n v="5"/>
    <x v="2"/>
    <x v="1"/>
    <s v="-"/>
    <x v="1"/>
    <n v="0"/>
    <n v="0"/>
    <n v="5"/>
  </r>
  <r>
    <n v="3523"/>
    <s v="Carla Siqueira"/>
    <x v="0"/>
    <d v="2024-12-14T00:00:00"/>
    <x v="1"/>
    <n v="15"/>
    <x v="0"/>
    <x v="0"/>
    <n v="30"/>
    <x v="0"/>
    <n v="20"/>
    <n v="3"/>
    <n v="62"/>
  </r>
  <r>
    <n v="3524"/>
    <s v="Diogo Ramos"/>
    <x v="2"/>
    <d v="2024-12-15T00:00:00"/>
    <x v="0"/>
    <n v="10"/>
    <x v="1"/>
    <x v="1"/>
    <s v="-"/>
    <x v="0"/>
    <n v="20"/>
    <n v="15"/>
    <n v="15"/>
  </r>
  <r>
    <n v="3525"/>
    <s v="Elisa Magalhães"/>
    <x v="1"/>
    <d v="2024-12-16T00:00:00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F39ED-435E-491F-A91E-DD702DB8E966}" name="tbl_renovacao_automatica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57:B60" firstHeaderRow="1" firstDataRow="1" firstDataCol="1"/>
  <pivotFields count="13">
    <pivotField dataField="1" showAll="0"/>
    <pivotField showAll="0"/>
    <pivotField multipleItemSelectionAllowed="1"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showDataAs="percentOfTotal" baseField="4" baseItem="0" numFmtId="10"/>
  </dataFields>
  <chartFormats count="3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C3FF6-2F3B-4619-ABB3-E9E5C31B6EFB}" name="tbl_periodo_mais_contratado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47:B51" firstHeaderRow="1" firstDataRow="1" firstDataCol="1"/>
  <pivotFields count="13">
    <pivotField showAll="0"/>
    <pivotField showAll="0"/>
    <pivotField multipleItemSelectionAllowed="1"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otal Value" fld="12" subtotal="count" baseField="6" baseItem="1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BD1F4-4BE5-4D2F-BB30-E30F2F0CB17D}" name="tbl_plano_mais_vendido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7:B41" firstHeaderRow="1" firstDataRow="1" firstDataCol="1"/>
  <pivotFields count="13">
    <pivotField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otal Value" fld="12" subtotal="count" baseField="2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3EBA5-E12A-4D32-A2AC-383E59740CBB}" name="tbl_desconto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A30:A31" firstHeaderRow="1" firstDataRow="1" firstDataCol="0"/>
  <pivotFields count="13">
    <pivotField showAll="0"/>
    <pivotField showAll="0"/>
    <pivotField multipleItemSelectionAllowed="1" showAll="0"/>
    <pivotField numFmtId="14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Items count="1">
    <i/>
  </rowItems>
  <colItems count="1">
    <i/>
  </colItems>
  <dataFields count="1">
    <dataField name="Soma de Coupon Value" fld="11" baseField="0" baseItem="0" numFmtId="44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64F45-9C41-4528-876D-A31C1D98FB8B}" name="Tabela dinâmica9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8" firstHeaderRow="1" firstDataRow="1" firstDataCol="1"/>
  <pivotFields count="13">
    <pivotField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C461E-3FBB-4575-AB48-F68F809DE4C3}" name="tbl_minecraftseason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2:B24" firstHeaderRow="1" firstDataRow="1" firstDataCol="1"/>
  <pivotFields count="13">
    <pivotField showAll="0"/>
    <pivotField showAll="0"/>
    <pivotField multipleItemSelectionAllowed="1" showAll="0"/>
    <pivotField numFmtId="14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axis="axisRow" showAll="0">
      <items count="3">
        <item h="1"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9"/>
  </rowFields>
  <rowItems count="2">
    <i>
      <x v="1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61465-AA17-4EE8-A26C-829E2CEEE9C7}" name="tbl_eaplay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B16" firstHeaderRow="1" firstDataRow="1" firstDataCol="1"/>
  <pivotFields count="13">
    <pivotField showAll="0"/>
    <pivotField showAll="0"/>
    <pivotField multipleItemSelectionAllowed="1" showAll="0"/>
    <pivotField numFmtId="14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axis="axisRow" showAll="0">
      <items count="3">
        <item h="1"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7"/>
  </rowFields>
  <rowItems count="2">
    <i>
      <x v="1"/>
    </i>
    <i t="grand">
      <x/>
    </i>
  </rowItems>
  <colItems count="1">
    <i/>
  </colItems>
  <dataFields count="1">
    <dataField name="Soma de EA Play Season Pass" fld="8" baseField="7" baseItem="1" numFmtId="44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12CF70A-2564-442B-85BD-6E6557CEE271}" sourceName="Subscription Type">
  <pivotTables>
    <pivotTable tabId="3" name="tbl_eaplay"/>
    <pivotTable tabId="3" name="tbl_minecraftseason"/>
    <pivotTable tabId="3" name="Tabela dinâmica9"/>
    <pivotTable tabId="3" name="tbl_desconto"/>
    <pivotTable tabId="3" name="tbl_plano_mais_vendido"/>
    <pivotTable tabId="3" name="tbl_renovacao_automatica"/>
  </pivotTables>
  <data>
    <tabular pivotCacheId="44479561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BD4CC80-2DF3-4BCC-A22C-73185474BD3B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9">
  <autoFilter ref="A1:M296" xr:uid="{34E0E886-4200-4B36-97B3-63DB74FF40A0}">
    <filterColumn colId="6">
      <filters>
        <filter val="Monthly"/>
      </filters>
    </filterColumn>
  </autoFilter>
  <tableColumns count="13">
    <tableColumn id="1" xr3:uid="{C4A90516-688A-46BF-9167-EA16C2A8A652}" name="Subscriber ID" dataDxfId="58"/>
    <tableColumn id="2" xr3:uid="{53DD39D0-2220-4121-9E9D-4EAA7E151C0F}" name="Name" dataDxfId="57"/>
    <tableColumn id="3" xr3:uid="{4F5FF271-4C57-4BE0-8F2C-F82C8551625C}" name="Plan" dataDxfId="56"/>
    <tableColumn id="4" xr3:uid="{8C17EB93-79B9-4E55-B8F7-BEB82F8253E9}" name="Start Date" dataDxfId="55"/>
    <tableColumn id="5" xr3:uid="{48CEDF9B-1689-482A-A828-5CCE7713264A}" name="Auto Renewal" dataDxfId="54"/>
    <tableColumn id="6" xr3:uid="{78B82374-9AA7-4E38-AE4F-78CDE6C83720}" name="Subscription Price" dataDxfId="53" dataCellStyle="Moeda"/>
    <tableColumn id="7" xr3:uid="{F2433F68-AF33-49D0-B1FB-19A396074EDE}" name="Subscription Type" dataDxfId="52"/>
    <tableColumn id="8" xr3:uid="{FD4D9C95-F6E5-4933-9068-A71FF7DF9343}" name="EA Play Season Pass" dataDxfId="51"/>
    <tableColumn id="13" xr3:uid="{978DD0D2-834E-4CE4-A39B-30976086932F}" name="EA Play Season Pass_x000a_Price" dataDxfId="50" dataCellStyle="Moeda"/>
    <tableColumn id="9" xr3:uid="{6E29F111-C395-4580-9DAD-3407D9E8B1A4}" name="Minecraft Season Pass" dataDxfId="49"/>
    <tableColumn id="10" xr3:uid="{EF544EAA-7F25-4FD5-A10E-8E62804DB9E3}" name="Minecraft Season Pass Price" dataDxfId="48" dataCellStyle="Moeda"/>
    <tableColumn id="11" xr3:uid="{7F6EB64A-1F07-4E48-9F0F-AC7D9DCD26F8}" name="Coupon Value" dataDxfId="47" dataCellStyle="Moeda"/>
    <tableColumn id="12" xr3:uid="{2B04ABC8-DE6F-426E-ADC0-D8AFC68CA58E}" name="Total Value" dataDxfId="4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X25" sqref="X2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325</v>
      </c>
      <c r="C5" t="s">
        <v>6</v>
      </c>
      <c r="E5" s="7" t="s">
        <v>324</v>
      </c>
      <c r="F5" t="s">
        <v>5</v>
      </c>
    </row>
    <row r="6" spans="2:16" x14ac:dyDescent="0.3">
      <c r="B6" s="4" t="s">
        <v>2</v>
      </c>
      <c r="C6" t="s">
        <v>6</v>
      </c>
    </row>
    <row r="7" spans="2:16" x14ac:dyDescent="0.3">
      <c r="B7" s="5" t="s">
        <v>3</v>
      </c>
      <c r="C7" t="s">
        <v>7</v>
      </c>
    </row>
    <row r="8" spans="2:16" x14ac:dyDescent="0.3">
      <c r="B8" s="6" t="s">
        <v>4</v>
      </c>
      <c r="C8" t="s">
        <v>7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pane ySplit="1" topLeftCell="A2" activePane="bottomLeft" state="frozen"/>
      <selection activeCell="X25" sqref="X25"/>
      <selection pane="bottomLeft" activeCell="X25" sqref="X2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310</v>
      </c>
      <c r="G1" s="9" t="s">
        <v>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3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33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35</v>
      </c>
      <c r="C10" s="8" t="s">
        <v>16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hidden="1" customHeight="1" x14ac:dyDescent="0.3">
      <c r="A13" s="8">
        <v>3242</v>
      </c>
      <c r="B13" s="8" t="s">
        <v>38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41</v>
      </c>
      <c r="C16" s="8" t="s">
        <v>16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44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47</v>
      </c>
      <c r="C22" s="8" t="s">
        <v>16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hidden="1" customHeight="1" x14ac:dyDescent="0.3">
      <c r="A25" s="8">
        <v>3254</v>
      </c>
      <c r="B25" s="8" t="s">
        <v>50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56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59</v>
      </c>
      <c r="C34" s="8" t="s">
        <v>16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hidden="1" customHeight="1" x14ac:dyDescent="0.3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75</v>
      </c>
      <c r="C50" s="8" t="s">
        <v>16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78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81</v>
      </c>
      <c r="C56" s="8" t="s">
        <v>16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3" ht="16.5" hidden="1" customHeight="1" x14ac:dyDescent="0.3">
      <c r="A59" s="8">
        <v>3288</v>
      </c>
      <c r="B59" s="8" t="s">
        <v>84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87</v>
      </c>
      <c r="C62" s="8" t="s">
        <v>16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96</v>
      </c>
      <c r="C71" s="8" t="s">
        <v>16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99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</row>
    <row r="77" spans="1:13" ht="16.5" hidden="1" customHeight="1" x14ac:dyDescent="0.3">
      <c r="A77" s="8">
        <v>3306</v>
      </c>
      <c r="B77" s="8" t="s">
        <v>102</v>
      </c>
      <c r="C77" s="8" t="s">
        <v>16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105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</row>
    <row r="89" spans="1:13" ht="16.5" hidden="1" customHeight="1" x14ac:dyDescent="0.3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117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120</v>
      </c>
      <c r="C95" s="8" t="s">
        <v>16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123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</row>
    <row r="117" spans="1:13" ht="16.5" hidden="1" customHeight="1" x14ac:dyDescent="0.3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</row>
    <row r="129" spans="1:13" ht="16.5" hidden="1" customHeight="1" x14ac:dyDescent="0.3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</row>
    <row r="147" spans="1:13" ht="16.5" hidden="1" customHeight="1" x14ac:dyDescent="0.3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</row>
    <row r="159" spans="1:13" ht="16.5" hidden="1" customHeight="1" x14ac:dyDescent="0.3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85</v>
      </c>
      <c r="C162" s="8" t="s">
        <v>16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</row>
    <row r="171" spans="1:13" ht="16.5" hidden="1" customHeight="1" x14ac:dyDescent="0.3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</row>
    <row r="187" spans="1:13" ht="16.5" hidden="1" customHeight="1" x14ac:dyDescent="0.3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</row>
    <row r="199" spans="1:13" ht="16.5" hidden="1" customHeight="1" x14ac:dyDescent="0.3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</row>
    <row r="217" spans="1:13" ht="16.5" hidden="1" customHeight="1" x14ac:dyDescent="0.3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</row>
    <row r="229" spans="1:13" ht="16.5" hidden="1" customHeight="1" x14ac:dyDescent="0.3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</row>
    <row r="241" spans="1:13" ht="16.5" hidden="1" customHeight="1" x14ac:dyDescent="0.3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</row>
    <row r="253" spans="1:13" ht="16.5" hidden="1" customHeight="1" x14ac:dyDescent="0.3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</row>
    <row r="267" spans="1:13" ht="16.5" hidden="1" customHeight="1" x14ac:dyDescent="0.3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</row>
    <row r="279" spans="1:13" ht="16.5" hidden="1" customHeight="1" x14ac:dyDescent="0.3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</row>
    <row r="291" spans="1:13" ht="16.5" hidden="1" customHeight="1" x14ac:dyDescent="0.3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E496"/>
  <sheetViews>
    <sheetView showGridLines="0" workbookViewId="0">
      <selection activeCell="X25" sqref="X25"/>
    </sheetView>
  </sheetViews>
  <sheetFormatPr defaultRowHeight="14.4" x14ac:dyDescent="0.3"/>
  <cols>
    <col min="1" max="1" width="16.77734375" bestFit="1" customWidth="1"/>
    <col min="2" max="2" width="23.77734375" bestFit="1" customWidth="1"/>
    <col min="3" max="3" width="17.88671875" style="24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5" s="7" customFormat="1" ht="21.6" thickBot="1" x14ac:dyDescent="0.45">
      <c r="A1" s="13" t="s">
        <v>311</v>
      </c>
      <c r="B1" s="14"/>
      <c r="C1" s="26"/>
      <c r="D1" s="14"/>
      <c r="E1" s="14"/>
    </row>
    <row r="2" spans="1:5" s="7" customFormat="1" ht="21.6" thickTop="1" x14ac:dyDescent="0.4">
      <c r="A2" s="16"/>
      <c r="B2" s="17"/>
      <c r="C2" s="27"/>
      <c r="D2" s="17"/>
      <c r="E2" s="17"/>
    </row>
    <row r="3" spans="1:5" s="7" customFormat="1" x14ac:dyDescent="0.3">
      <c r="C3" s="24"/>
    </row>
    <row r="4" spans="1:5" s="7" customFormat="1" x14ac:dyDescent="0.3">
      <c r="A4" s="15" t="s">
        <v>312</v>
      </c>
      <c r="B4" t="s">
        <v>314</v>
      </c>
      <c r="C4" s="24"/>
    </row>
    <row r="5" spans="1:5" s="7" customFormat="1" x14ac:dyDescent="0.3">
      <c r="A5" s="19" t="s">
        <v>20</v>
      </c>
      <c r="B5" s="18">
        <v>120</v>
      </c>
      <c r="C5" s="24"/>
    </row>
    <row r="6" spans="1:5" s="7" customFormat="1" x14ac:dyDescent="0.3">
      <c r="A6" s="19" t="s">
        <v>24</v>
      </c>
      <c r="B6" s="18">
        <v>448</v>
      </c>
      <c r="C6" s="24"/>
    </row>
    <row r="7" spans="1:5" s="7" customFormat="1" x14ac:dyDescent="0.3">
      <c r="A7" s="19" t="s">
        <v>16</v>
      </c>
      <c r="B7" s="18">
        <v>1186</v>
      </c>
      <c r="C7" s="25" t="s">
        <v>327</v>
      </c>
    </row>
    <row r="8" spans="1:5" s="7" customFormat="1" x14ac:dyDescent="0.3">
      <c r="A8" s="19" t="s">
        <v>313</v>
      </c>
      <c r="B8" s="18">
        <v>1754</v>
      </c>
      <c r="C8" s="25">
        <f>GETPIVOTDATA("Total Value",$A$4)</f>
        <v>1754</v>
      </c>
    </row>
    <row r="9" spans="1:5" s="7" customFormat="1" x14ac:dyDescent="0.3">
      <c r="C9" s="24"/>
    </row>
    <row r="10" spans="1:5" s="7" customFormat="1" x14ac:dyDescent="0.3">
      <c r="C10" s="24"/>
    </row>
    <row r="11" spans="1:5" s="7" customFormat="1" ht="21.6" thickBot="1" x14ac:dyDescent="0.45">
      <c r="A11" s="13" t="s">
        <v>315</v>
      </c>
      <c r="B11" s="14"/>
      <c r="C11" s="26"/>
      <c r="D11" s="14"/>
      <c r="E11" s="14"/>
    </row>
    <row r="12" spans="1:5" s="7" customFormat="1" ht="15" thickTop="1" x14ac:dyDescent="0.3">
      <c r="C12" s="24"/>
    </row>
    <row r="13" spans="1:5" s="7" customFormat="1" x14ac:dyDescent="0.3">
      <c r="C13" s="24"/>
    </row>
    <row r="14" spans="1:5" s="7" customFormat="1" x14ac:dyDescent="0.3">
      <c r="A14" s="15" t="s">
        <v>312</v>
      </c>
      <c r="B14" t="s">
        <v>318</v>
      </c>
      <c r="C14" s="24"/>
    </row>
    <row r="15" spans="1:5" s="7" customFormat="1" x14ac:dyDescent="0.3">
      <c r="A15" s="19" t="s">
        <v>17</v>
      </c>
      <c r="B15" s="18">
        <v>600</v>
      </c>
      <c r="C15" s="25" t="s">
        <v>327</v>
      </c>
    </row>
    <row r="16" spans="1:5" s="7" customFormat="1" x14ac:dyDescent="0.3">
      <c r="A16" s="19" t="s">
        <v>313</v>
      </c>
      <c r="B16" s="18">
        <v>600</v>
      </c>
      <c r="C16" s="25">
        <f>GETPIVOTDATA("EA Play Season Pass
Price",$A$14)</f>
        <v>600</v>
      </c>
    </row>
    <row r="17" spans="1:5" s="7" customFormat="1" ht="13.8" customHeight="1" x14ac:dyDescent="0.3">
      <c r="C17" s="24"/>
    </row>
    <row r="18" spans="1:5" s="7" customFormat="1" ht="15" customHeight="1" x14ac:dyDescent="0.3">
      <c r="C18" s="24"/>
    </row>
    <row r="19" spans="1:5" s="7" customFormat="1" ht="21.6" thickBot="1" x14ac:dyDescent="0.45">
      <c r="A19" s="20" t="s">
        <v>316</v>
      </c>
      <c r="B19" s="20"/>
      <c r="C19" s="28"/>
      <c r="D19" s="21"/>
      <c r="E19" s="21"/>
    </row>
    <row r="20" spans="1:5" s="7" customFormat="1" ht="15" thickTop="1" x14ac:dyDescent="0.3">
      <c r="C20" s="24"/>
    </row>
    <row r="21" spans="1:5" s="7" customFormat="1" x14ac:dyDescent="0.3">
      <c r="C21" s="24"/>
    </row>
    <row r="22" spans="1:5" s="7" customFormat="1" x14ac:dyDescent="0.3">
      <c r="A22" s="15" t="s">
        <v>312</v>
      </c>
      <c r="B22" t="s">
        <v>317</v>
      </c>
      <c r="C22" s="24"/>
    </row>
    <row r="23" spans="1:5" s="7" customFormat="1" x14ac:dyDescent="0.3">
      <c r="A23" s="19" t="s">
        <v>17</v>
      </c>
      <c r="B23" s="18">
        <v>940</v>
      </c>
      <c r="C23" s="29" t="s">
        <v>328</v>
      </c>
    </row>
    <row r="24" spans="1:5" s="7" customFormat="1" x14ac:dyDescent="0.3">
      <c r="A24" s="19" t="s">
        <v>313</v>
      </c>
      <c r="B24" s="18">
        <v>940</v>
      </c>
      <c r="C24" s="29">
        <f>GETPIVOTDATA("Minecraft Season Pass Price",$A$22)</f>
        <v>940</v>
      </c>
    </row>
    <row r="25" spans="1:5" s="7" customFormat="1" x14ac:dyDescent="0.3">
      <c r="C25" s="24"/>
    </row>
    <row r="26" spans="1:5" s="7" customFormat="1" x14ac:dyDescent="0.3">
      <c r="C26" s="24"/>
    </row>
    <row r="27" spans="1:5" s="7" customFormat="1" ht="21.6" thickBot="1" x14ac:dyDescent="0.45">
      <c r="A27" s="20" t="s">
        <v>319</v>
      </c>
      <c r="B27" s="20"/>
      <c r="C27" s="28"/>
      <c r="D27" s="21"/>
      <c r="E27" s="21"/>
    </row>
    <row r="28" spans="1:5" s="7" customFormat="1" ht="15" thickTop="1" x14ac:dyDescent="0.3">
      <c r="C28" s="24"/>
    </row>
    <row r="29" spans="1:5" s="7" customFormat="1" x14ac:dyDescent="0.3">
      <c r="C29" s="24"/>
    </row>
    <row r="30" spans="1:5" s="7" customFormat="1" x14ac:dyDescent="0.3">
      <c r="A30" t="s">
        <v>320</v>
      </c>
      <c r="B30" s="29" t="s">
        <v>328</v>
      </c>
      <c r="C30" s="24"/>
    </row>
    <row r="31" spans="1:5" s="7" customFormat="1" ht="15" customHeight="1" x14ac:dyDescent="0.3">
      <c r="A31" s="18">
        <v>476</v>
      </c>
      <c r="B31" s="29">
        <f>GETPIVOTDATA("Coupon Value",$A$30)</f>
        <v>476</v>
      </c>
    </row>
    <row r="32" spans="1:5" s="7" customFormat="1" x14ac:dyDescent="0.3"/>
    <row r="33" spans="1:5" s="7" customFormat="1" x14ac:dyDescent="0.3">
      <c r="C33" s="24"/>
    </row>
    <row r="34" spans="1:5" s="7" customFormat="1" ht="21.6" thickBot="1" x14ac:dyDescent="0.45">
      <c r="A34" s="20" t="s">
        <v>321</v>
      </c>
      <c r="B34" s="20"/>
      <c r="C34" s="28"/>
      <c r="D34" s="21"/>
      <c r="E34" s="21"/>
    </row>
    <row r="35" spans="1:5" s="7" customFormat="1" ht="15" thickTop="1" x14ac:dyDescent="0.3">
      <c r="C35" s="24"/>
    </row>
    <row r="36" spans="1:5" s="7" customFormat="1" x14ac:dyDescent="0.3">
      <c r="C36" s="24"/>
    </row>
    <row r="37" spans="1:5" s="7" customFormat="1" x14ac:dyDescent="0.3">
      <c r="A37" s="15" t="s">
        <v>312</v>
      </c>
      <c r="B37" t="s">
        <v>329</v>
      </c>
      <c r="C37" s="24"/>
    </row>
    <row r="38" spans="1:5" s="7" customFormat="1" x14ac:dyDescent="0.3">
      <c r="A38" s="19" t="s">
        <v>20</v>
      </c>
      <c r="B38" s="22">
        <v>24</v>
      </c>
      <c r="C38" s="24"/>
    </row>
    <row r="39" spans="1:5" s="7" customFormat="1" x14ac:dyDescent="0.3">
      <c r="A39" s="19" t="s">
        <v>24</v>
      </c>
      <c r="B39" s="22">
        <v>27</v>
      </c>
      <c r="C39" s="24"/>
    </row>
    <row r="40" spans="1:5" s="7" customFormat="1" x14ac:dyDescent="0.3">
      <c r="A40" s="19" t="s">
        <v>16</v>
      </c>
      <c r="B40" s="22">
        <v>20</v>
      </c>
      <c r="C40" s="29" t="s">
        <v>328</v>
      </c>
    </row>
    <row r="41" spans="1:5" s="7" customFormat="1" x14ac:dyDescent="0.3">
      <c r="A41" s="19" t="s">
        <v>313</v>
      </c>
      <c r="B41" s="22">
        <v>71</v>
      </c>
      <c r="C41" s="29">
        <f>GETPIVOTDATA("Total Value",$A$37)</f>
        <v>71</v>
      </c>
    </row>
    <row r="42" spans="1:5" s="7" customFormat="1" x14ac:dyDescent="0.3">
      <c r="C42" s="24"/>
    </row>
    <row r="43" spans="1:5" s="7" customFormat="1" x14ac:dyDescent="0.3">
      <c r="C43" s="24"/>
    </row>
    <row r="44" spans="1:5" s="7" customFormat="1" ht="21.6" thickBot="1" x14ac:dyDescent="0.45">
      <c r="A44" s="20" t="s">
        <v>322</v>
      </c>
      <c r="B44" s="20"/>
      <c r="C44" s="28"/>
      <c r="D44" s="21"/>
      <c r="E44" s="21"/>
    </row>
    <row r="45" spans="1:5" s="7" customFormat="1" ht="15" thickTop="1" x14ac:dyDescent="0.3">
      <c r="C45" s="24"/>
    </row>
    <row r="46" spans="1:5" s="7" customFormat="1" x14ac:dyDescent="0.3">
      <c r="C46" s="24"/>
    </row>
    <row r="47" spans="1:5" s="7" customFormat="1" x14ac:dyDescent="0.3">
      <c r="A47" s="15" t="s">
        <v>312</v>
      </c>
      <c r="B47" t="s">
        <v>329</v>
      </c>
      <c r="C47" s="24"/>
    </row>
    <row r="48" spans="1:5" s="7" customFormat="1" x14ac:dyDescent="0.3">
      <c r="A48" s="19" t="s">
        <v>22</v>
      </c>
      <c r="B48" s="22">
        <v>71</v>
      </c>
    </row>
    <row r="49" spans="1:5" s="7" customFormat="1" x14ac:dyDescent="0.3">
      <c r="A49" s="19" t="s">
        <v>18</v>
      </c>
      <c r="B49" s="22">
        <v>139</v>
      </c>
    </row>
    <row r="50" spans="1:5" s="7" customFormat="1" x14ac:dyDescent="0.3">
      <c r="A50" s="19" t="s">
        <v>25</v>
      </c>
      <c r="B50" s="22">
        <v>85</v>
      </c>
      <c r="C50" s="29" t="s">
        <v>328</v>
      </c>
    </row>
    <row r="51" spans="1:5" s="7" customFormat="1" x14ac:dyDescent="0.3">
      <c r="A51" s="19" t="s">
        <v>313</v>
      </c>
      <c r="B51" s="22">
        <v>295</v>
      </c>
      <c r="C51" s="29">
        <f>GETPIVOTDATA("Total Value",$A$47)</f>
        <v>295</v>
      </c>
    </row>
    <row r="52" spans="1:5" s="7" customFormat="1" x14ac:dyDescent="0.3">
      <c r="C52" s="24"/>
    </row>
    <row r="53" spans="1:5" s="7" customFormat="1" x14ac:dyDescent="0.3">
      <c r="C53" s="24"/>
    </row>
    <row r="54" spans="1:5" s="7" customFormat="1" ht="21.6" thickBot="1" x14ac:dyDescent="0.45">
      <c r="A54" s="20" t="s">
        <v>323</v>
      </c>
      <c r="B54" s="20"/>
      <c r="C54" s="28"/>
      <c r="D54" s="21"/>
      <c r="E54" s="21"/>
    </row>
    <row r="55" spans="1:5" s="7" customFormat="1" ht="15" thickTop="1" x14ac:dyDescent="0.3">
      <c r="C55" s="24"/>
    </row>
    <row r="56" spans="1:5" s="7" customFormat="1" x14ac:dyDescent="0.3">
      <c r="C56" s="24"/>
    </row>
    <row r="57" spans="1:5" s="7" customFormat="1" x14ac:dyDescent="0.3">
      <c r="A57" s="15" t="s">
        <v>312</v>
      </c>
      <c r="B57" t="s">
        <v>331</v>
      </c>
      <c r="C57" s="24"/>
    </row>
    <row r="58" spans="1:5" s="7" customFormat="1" x14ac:dyDescent="0.3">
      <c r="A58" s="19" t="s">
        <v>21</v>
      </c>
      <c r="B58" s="23">
        <v>0.15492957746478872</v>
      </c>
      <c r="C58" s="24"/>
    </row>
    <row r="59" spans="1:5" s="7" customFormat="1" x14ac:dyDescent="0.3">
      <c r="A59" s="19" t="s">
        <v>17</v>
      </c>
      <c r="B59" s="23">
        <v>0.84507042253521125</v>
      </c>
      <c r="C59" s="29" t="s">
        <v>328</v>
      </c>
    </row>
    <row r="60" spans="1:5" s="7" customFormat="1" x14ac:dyDescent="0.3">
      <c r="A60" s="19" t="s">
        <v>313</v>
      </c>
      <c r="B60" s="23">
        <v>1</v>
      </c>
      <c r="C60" s="30"/>
    </row>
    <row r="61" spans="1:5" s="7" customFormat="1" x14ac:dyDescent="0.3">
      <c r="C61" s="24"/>
    </row>
    <row r="62" spans="1:5" s="7" customFormat="1" x14ac:dyDescent="0.3">
      <c r="C62" s="24"/>
    </row>
    <row r="63" spans="1:5" s="7" customFormat="1" x14ac:dyDescent="0.3">
      <c r="C63" s="24"/>
    </row>
    <row r="64" spans="1:5" s="7" customFormat="1" x14ac:dyDescent="0.3">
      <c r="C64" s="24"/>
    </row>
    <row r="65" spans="3:3" s="7" customFormat="1" x14ac:dyDescent="0.3">
      <c r="C65" s="24"/>
    </row>
    <row r="66" spans="3:3" s="7" customFormat="1" x14ac:dyDescent="0.3">
      <c r="C66" s="24"/>
    </row>
    <row r="67" spans="3:3" s="7" customFormat="1" x14ac:dyDescent="0.3">
      <c r="C67" s="24"/>
    </row>
    <row r="68" spans="3:3" s="7" customFormat="1" x14ac:dyDescent="0.3">
      <c r="C68" s="24"/>
    </row>
    <row r="69" spans="3:3" s="7" customFormat="1" x14ac:dyDescent="0.3">
      <c r="C69" s="24"/>
    </row>
    <row r="70" spans="3:3" s="7" customFormat="1" x14ac:dyDescent="0.3">
      <c r="C70" s="24"/>
    </row>
    <row r="71" spans="3:3" s="7" customFormat="1" x14ac:dyDescent="0.3">
      <c r="C71" s="24"/>
    </row>
    <row r="72" spans="3:3" s="7" customFormat="1" x14ac:dyDescent="0.3">
      <c r="C72" s="24"/>
    </row>
    <row r="73" spans="3:3" s="7" customFormat="1" x14ac:dyDescent="0.3">
      <c r="C73" s="24"/>
    </row>
    <row r="74" spans="3:3" s="7" customFormat="1" x14ac:dyDescent="0.3">
      <c r="C74" s="24"/>
    </row>
    <row r="75" spans="3:3" s="7" customFormat="1" x14ac:dyDescent="0.3">
      <c r="C75" s="24"/>
    </row>
    <row r="76" spans="3:3" s="7" customFormat="1" x14ac:dyDescent="0.3">
      <c r="C76" s="24"/>
    </row>
    <row r="77" spans="3:3" s="7" customFormat="1" x14ac:dyDescent="0.3">
      <c r="C77" s="24"/>
    </row>
    <row r="78" spans="3:3" s="7" customFormat="1" x14ac:dyDescent="0.3">
      <c r="C78" s="24"/>
    </row>
    <row r="79" spans="3:3" s="7" customFormat="1" x14ac:dyDescent="0.3">
      <c r="C79" s="24"/>
    </row>
    <row r="80" spans="3:3" s="7" customFormat="1" x14ac:dyDescent="0.3">
      <c r="C80" s="24"/>
    </row>
    <row r="81" spans="3:3" s="7" customFormat="1" x14ac:dyDescent="0.3">
      <c r="C81" s="24"/>
    </row>
    <row r="82" spans="3:3" s="7" customFormat="1" x14ac:dyDescent="0.3">
      <c r="C82" s="24"/>
    </row>
    <row r="83" spans="3:3" s="7" customFormat="1" x14ac:dyDescent="0.3">
      <c r="C83" s="24"/>
    </row>
    <row r="84" spans="3:3" s="7" customFormat="1" x14ac:dyDescent="0.3">
      <c r="C84" s="24"/>
    </row>
    <row r="85" spans="3:3" s="7" customFormat="1" x14ac:dyDescent="0.3">
      <c r="C85" s="24"/>
    </row>
    <row r="86" spans="3:3" s="7" customFormat="1" x14ac:dyDescent="0.3">
      <c r="C86" s="24"/>
    </row>
    <row r="87" spans="3:3" s="7" customFormat="1" x14ac:dyDescent="0.3">
      <c r="C87" s="24"/>
    </row>
    <row r="88" spans="3:3" s="7" customFormat="1" x14ac:dyDescent="0.3">
      <c r="C88" s="24"/>
    </row>
    <row r="89" spans="3:3" s="7" customFormat="1" x14ac:dyDescent="0.3">
      <c r="C89" s="24"/>
    </row>
    <row r="90" spans="3:3" s="7" customFormat="1" x14ac:dyDescent="0.3">
      <c r="C90" s="24"/>
    </row>
    <row r="91" spans="3:3" s="7" customFormat="1" x14ac:dyDescent="0.3">
      <c r="C91" s="24"/>
    </row>
    <row r="92" spans="3:3" s="7" customFormat="1" x14ac:dyDescent="0.3">
      <c r="C92" s="24"/>
    </row>
    <row r="93" spans="3:3" s="7" customFormat="1" x14ac:dyDescent="0.3">
      <c r="C93" s="24"/>
    </row>
    <row r="94" spans="3:3" s="7" customFormat="1" x14ac:dyDescent="0.3">
      <c r="C94" s="24"/>
    </row>
    <row r="95" spans="3:3" s="7" customFormat="1" x14ac:dyDescent="0.3">
      <c r="C95" s="24"/>
    </row>
    <row r="96" spans="3:3" s="7" customFormat="1" x14ac:dyDescent="0.3">
      <c r="C96" s="24"/>
    </row>
    <row r="97" spans="3:3" s="7" customFormat="1" x14ac:dyDescent="0.3">
      <c r="C97" s="24"/>
    </row>
    <row r="98" spans="3:3" s="7" customFormat="1" x14ac:dyDescent="0.3">
      <c r="C98" s="24"/>
    </row>
    <row r="99" spans="3:3" s="7" customFormat="1" x14ac:dyDescent="0.3">
      <c r="C99" s="24"/>
    </row>
    <row r="100" spans="3:3" s="7" customFormat="1" x14ac:dyDescent="0.3">
      <c r="C100" s="24"/>
    </row>
    <row r="101" spans="3:3" s="7" customFormat="1" x14ac:dyDescent="0.3">
      <c r="C101" s="24"/>
    </row>
    <row r="102" spans="3:3" s="7" customFormat="1" x14ac:dyDescent="0.3">
      <c r="C102" s="24"/>
    </row>
    <row r="103" spans="3:3" s="7" customFormat="1" x14ac:dyDescent="0.3">
      <c r="C103" s="24"/>
    </row>
    <row r="104" spans="3:3" s="7" customFormat="1" x14ac:dyDescent="0.3">
      <c r="C104" s="24"/>
    </row>
    <row r="105" spans="3:3" s="7" customFormat="1" x14ac:dyDescent="0.3">
      <c r="C105" s="24"/>
    </row>
    <row r="106" spans="3:3" s="7" customFormat="1" x14ac:dyDescent="0.3">
      <c r="C106" s="24"/>
    </row>
    <row r="107" spans="3:3" s="7" customFormat="1" x14ac:dyDescent="0.3">
      <c r="C107" s="24"/>
    </row>
    <row r="108" spans="3:3" s="7" customFormat="1" x14ac:dyDescent="0.3">
      <c r="C108" s="24"/>
    </row>
    <row r="109" spans="3:3" s="7" customFormat="1" x14ac:dyDescent="0.3">
      <c r="C109" s="24"/>
    </row>
    <row r="110" spans="3:3" s="7" customFormat="1" x14ac:dyDescent="0.3">
      <c r="C110" s="24"/>
    </row>
    <row r="111" spans="3:3" s="7" customFormat="1" x14ac:dyDescent="0.3">
      <c r="C111" s="24"/>
    </row>
    <row r="112" spans="3:3" s="7" customFormat="1" x14ac:dyDescent="0.3">
      <c r="C112" s="24"/>
    </row>
    <row r="113" spans="3:3" s="7" customFormat="1" x14ac:dyDescent="0.3">
      <c r="C113" s="24"/>
    </row>
    <row r="114" spans="3:3" s="7" customFormat="1" x14ac:dyDescent="0.3">
      <c r="C114" s="24"/>
    </row>
    <row r="115" spans="3:3" s="7" customFormat="1" x14ac:dyDescent="0.3">
      <c r="C115" s="24"/>
    </row>
    <row r="116" spans="3:3" s="7" customFormat="1" x14ac:dyDescent="0.3">
      <c r="C116" s="24"/>
    </row>
    <row r="117" spans="3:3" s="7" customFormat="1" x14ac:dyDescent="0.3">
      <c r="C117" s="24"/>
    </row>
    <row r="118" spans="3:3" s="7" customFormat="1" x14ac:dyDescent="0.3">
      <c r="C118" s="24"/>
    </row>
    <row r="119" spans="3:3" s="7" customFormat="1" x14ac:dyDescent="0.3">
      <c r="C119" s="24"/>
    </row>
    <row r="120" spans="3:3" s="7" customFormat="1" x14ac:dyDescent="0.3">
      <c r="C120" s="24"/>
    </row>
    <row r="121" spans="3:3" s="7" customFormat="1" x14ac:dyDescent="0.3">
      <c r="C121" s="24"/>
    </row>
    <row r="122" spans="3:3" s="7" customFormat="1" x14ac:dyDescent="0.3">
      <c r="C122" s="24"/>
    </row>
    <row r="123" spans="3:3" s="7" customFormat="1" x14ac:dyDescent="0.3">
      <c r="C123" s="24"/>
    </row>
    <row r="124" spans="3:3" s="7" customFormat="1" x14ac:dyDescent="0.3">
      <c r="C124" s="24"/>
    </row>
    <row r="125" spans="3:3" s="7" customFormat="1" x14ac:dyDescent="0.3">
      <c r="C125" s="24"/>
    </row>
    <row r="126" spans="3:3" s="7" customFormat="1" x14ac:dyDescent="0.3">
      <c r="C126" s="24"/>
    </row>
    <row r="127" spans="3:3" s="7" customFormat="1" x14ac:dyDescent="0.3">
      <c r="C127" s="24"/>
    </row>
    <row r="128" spans="3:3" s="7" customFormat="1" x14ac:dyDescent="0.3">
      <c r="C128" s="24"/>
    </row>
    <row r="129" spans="3:3" s="7" customFormat="1" x14ac:dyDescent="0.3">
      <c r="C129" s="24"/>
    </row>
    <row r="130" spans="3:3" s="7" customFormat="1" x14ac:dyDescent="0.3">
      <c r="C130" s="24"/>
    </row>
    <row r="131" spans="3:3" s="7" customFormat="1" x14ac:dyDescent="0.3">
      <c r="C131" s="24"/>
    </row>
    <row r="132" spans="3:3" s="7" customFormat="1" x14ac:dyDescent="0.3">
      <c r="C132" s="24"/>
    </row>
    <row r="133" spans="3:3" s="7" customFormat="1" x14ac:dyDescent="0.3">
      <c r="C133" s="24"/>
    </row>
    <row r="134" spans="3:3" s="7" customFormat="1" x14ac:dyDescent="0.3">
      <c r="C134" s="24"/>
    </row>
    <row r="135" spans="3:3" s="7" customFormat="1" x14ac:dyDescent="0.3">
      <c r="C135" s="24"/>
    </row>
    <row r="136" spans="3:3" s="7" customFormat="1" x14ac:dyDescent="0.3">
      <c r="C136" s="24"/>
    </row>
    <row r="137" spans="3:3" s="7" customFormat="1" x14ac:dyDescent="0.3">
      <c r="C137" s="24"/>
    </row>
    <row r="138" spans="3:3" s="7" customFormat="1" x14ac:dyDescent="0.3">
      <c r="C138" s="24"/>
    </row>
    <row r="139" spans="3:3" s="7" customFormat="1" x14ac:dyDescent="0.3">
      <c r="C139" s="24"/>
    </row>
    <row r="140" spans="3:3" s="7" customFormat="1" x14ac:dyDescent="0.3">
      <c r="C140" s="24"/>
    </row>
    <row r="141" spans="3:3" s="7" customFormat="1" x14ac:dyDescent="0.3">
      <c r="C141" s="24"/>
    </row>
    <row r="142" spans="3:3" s="7" customFormat="1" x14ac:dyDescent="0.3">
      <c r="C142" s="24"/>
    </row>
    <row r="143" spans="3:3" s="7" customFormat="1" x14ac:dyDescent="0.3">
      <c r="C143" s="24"/>
    </row>
    <row r="144" spans="3:3" s="7" customFormat="1" x14ac:dyDescent="0.3">
      <c r="C144" s="24"/>
    </row>
    <row r="145" spans="3:3" s="7" customFormat="1" x14ac:dyDescent="0.3">
      <c r="C145" s="24"/>
    </row>
    <row r="146" spans="3:3" s="7" customFormat="1" x14ac:dyDescent="0.3">
      <c r="C146" s="24"/>
    </row>
    <row r="147" spans="3:3" s="7" customFormat="1" x14ac:dyDescent="0.3">
      <c r="C147" s="24"/>
    </row>
    <row r="148" spans="3:3" s="7" customFormat="1" x14ac:dyDescent="0.3">
      <c r="C148" s="24"/>
    </row>
    <row r="149" spans="3:3" s="7" customFormat="1" x14ac:dyDescent="0.3">
      <c r="C149" s="24"/>
    </row>
    <row r="150" spans="3:3" s="7" customFormat="1" x14ac:dyDescent="0.3">
      <c r="C150" s="24"/>
    </row>
    <row r="151" spans="3:3" s="7" customFormat="1" x14ac:dyDescent="0.3">
      <c r="C151" s="24"/>
    </row>
    <row r="152" spans="3:3" s="7" customFormat="1" x14ac:dyDescent="0.3">
      <c r="C152" s="24"/>
    </row>
    <row r="153" spans="3:3" s="7" customFormat="1" x14ac:dyDescent="0.3">
      <c r="C153" s="24"/>
    </row>
    <row r="154" spans="3:3" s="7" customFormat="1" x14ac:dyDescent="0.3">
      <c r="C154" s="24"/>
    </row>
    <row r="155" spans="3:3" s="7" customFormat="1" x14ac:dyDescent="0.3">
      <c r="C155" s="24"/>
    </row>
    <row r="156" spans="3:3" s="7" customFormat="1" x14ac:dyDescent="0.3">
      <c r="C156" s="24"/>
    </row>
    <row r="157" spans="3:3" s="7" customFormat="1" x14ac:dyDescent="0.3">
      <c r="C157" s="24"/>
    </row>
    <row r="158" spans="3:3" s="7" customFormat="1" x14ac:dyDescent="0.3">
      <c r="C158" s="24"/>
    </row>
    <row r="159" spans="3:3" s="7" customFormat="1" x14ac:dyDescent="0.3">
      <c r="C159" s="24"/>
    </row>
    <row r="160" spans="3:3" s="7" customFormat="1" x14ac:dyDescent="0.3">
      <c r="C160" s="24"/>
    </row>
    <row r="161" spans="3:3" s="7" customFormat="1" x14ac:dyDescent="0.3">
      <c r="C161" s="24"/>
    </row>
    <row r="162" spans="3:3" s="7" customFormat="1" x14ac:dyDescent="0.3">
      <c r="C162" s="24"/>
    </row>
    <row r="163" spans="3:3" s="7" customFormat="1" x14ac:dyDescent="0.3">
      <c r="C163" s="24"/>
    </row>
    <row r="164" spans="3:3" s="7" customFormat="1" x14ac:dyDescent="0.3">
      <c r="C164" s="24"/>
    </row>
    <row r="165" spans="3:3" s="7" customFormat="1" x14ac:dyDescent="0.3">
      <c r="C165" s="24"/>
    </row>
    <row r="166" spans="3:3" s="7" customFormat="1" x14ac:dyDescent="0.3">
      <c r="C166" s="24"/>
    </row>
    <row r="167" spans="3:3" s="7" customFormat="1" x14ac:dyDescent="0.3">
      <c r="C167" s="24"/>
    </row>
    <row r="168" spans="3:3" s="7" customFormat="1" x14ac:dyDescent="0.3">
      <c r="C168" s="24"/>
    </row>
    <row r="169" spans="3:3" s="7" customFormat="1" x14ac:dyDescent="0.3">
      <c r="C169" s="24"/>
    </row>
    <row r="170" spans="3:3" s="7" customFormat="1" x14ac:dyDescent="0.3">
      <c r="C170" s="24"/>
    </row>
    <row r="171" spans="3:3" s="7" customFormat="1" x14ac:dyDescent="0.3">
      <c r="C171" s="24"/>
    </row>
    <row r="172" spans="3:3" s="7" customFormat="1" x14ac:dyDescent="0.3">
      <c r="C172" s="24"/>
    </row>
    <row r="173" spans="3:3" s="7" customFormat="1" x14ac:dyDescent="0.3">
      <c r="C173" s="24"/>
    </row>
    <row r="174" spans="3:3" s="7" customFormat="1" x14ac:dyDescent="0.3">
      <c r="C174" s="24"/>
    </row>
    <row r="175" spans="3:3" s="7" customFormat="1" x14ac:dyDescent="0.3">
      <c r="C175" s="24"/>
    </row>
    <row r="176" spans="3:3" s="7" customFormat="1" x14ac:dyDescent="0.3">
      <c r="C176" s="24"/>
    </row>
    <row r="177" spans="3:3" s="7" customFormat="1" x14ac:dyDescent="0.3">
      <c r="C177" s="24"/>
    </row>
    <row r="178" spans="3:3" s="7" customFormat="1" x14ac:dyDescent="0.3">
      <c r="C178" s="24"/>
    </row>
    <row r="179" spans="3:3" s="7" customFormat="1" x14ac:dyDescent="0.3">
      <c r="C179" s="24"/>
    </row>
    <row r="180" spans="3:3" s="7" customFormat="1" x14ac:dyDescent="0.3">
      <c r="C180" s="24"/>
    </row>
    <row r="181" spans="3:3" s="7" customFormat="1" x14ac:dyDescent="0.3">
      <c r="C181" s="24"/>
    </row>
    <row r="182" spans="3:3" s="7" customFormat="1" x14ac:dyDescent="0.3">
      <c r="C182" s="24"/>
    </row>
    <row r="183" spans="3:3" s="7" customFormat="1" x14ac:dyDescent="0.3">
      <c r="C183" s="24"/>
    </row>
    <row r="184" spans="3:3" s="7" customFormat="1" x14ac:dyDescent="0.3">
      <c r="C184" s="24"/>
    </row>
    <row r="185" spans="3:3" s="7" customFormat="1" x14ac:dyDescent="0.3">
      <c r="C185" s="24"/>
    </row>
    <row r="186" spans="3:3" s="7" customFormat="1" x14ac:dyDescent="0.3">
      <c r="C186" s="24"/>
    </row>
    <row r="187" spans="3:3" s="7" customFormat="1" x14ac:dyDescent="0.3">
      <c r="C187" s="24"/>
    </row>
    <row r="188" spans="3:3" s="7" customFormat="1" x14ac:dyDescent="0.3">
      <c r="C188" s="24"/>
    </row>
    <row r="189" spans="3:3" s="7" customFormat="1" x14ac:dyDescent="0.3">
      <c r="C189" s="24"/>
    </row>
    <row r="190" spans="3:3" s="7" customFormat="1" x14ac:dyDescent="0.3">
      <c r="C190" s="24"/>
    </row>
    <row r="191" spans="3:3" s="7" customFormat="1" x14ac:dyDescent="0.3">
      <c r="C191" s="24"/>
    </row>
    <row r="192" spans="3:3" s="7" customFormat="1" x14ac:dyDescent="0.3">
      <c r="C192" s="24"/>
    </row>
    <row r="193" spans="3:3" s="7" customFormat="1" x14ac:dyDescent="0.3">
      <c r="C193" s="24"/>
    </row>
    <row r="194" spans="3:3" s="7" customFormat="1" x14ac:dyDescent="0.3">
      <c r="C194" s="24"/>
    </row>
    <row r="195" spans="3:3" s="7" customFormat="1" x14ac:dyDescent="0.3">
      <c r="C195" s="24"/>
    </row>
    <row r="196" spans="3:3" s="7" customFormat="1" x14ac:dyDescent="0.3">
      <c r="C196" s="24"/>
    </row>
    <row r="197" spans="3:3" s="7" customFormat="1" x14ac:dyDescent="0.3">
      <c r="C197" s="24"/>
    </row>
    <row r="198" spans="3:3" s="7" customFormat="1" x14ac:dyDescent="0.3">
      <c r="C198" s="24"/>
    </row>
    <row r="199" spans="3:3" s="7" customFormat="1" x14ac:dyDescent="0.3">
      <c r="C199" s="24"/>
    </row>
    <row r="200" spans="3:3" s="7" customFormat="1" x14ac:dyDescent="0.3">
      <c r="C200" s="24"/>
    </row>
    <row r="201" spans="3:3" s="7" customFormat="1" x14ac:dyDescent="0.3">
      <c r="C201" s="24"/>
    </row>
    <row r="202" spans="3:3" s="7" customFormat="1" x14ac:dyDescent="0.3">
      <c r="C202" s="24"/>
    </row>
    <row r="203" spans="3:3" s="7" customFormat="1" x14ac:dyDescent="0.3">
      <c r="C203" s="24"/>
    </row>
    <row r="204" spans="3:3" s="7" customFormat="1" x14ac:dyDescent="0.3">
      <c r="C204" s="24"/>
    </row>
    <row r="205" spans="3:3" s="7" customFormat="1" x14ac:dyDescent="0.3">
      <c r="C205" s="24"/>
    </row>
    <row r="206" spans="3:3" s="7" customFormat="1" x14ac:dyDescent="0.3">
      <c r="C206" s="24"/>
    </row>
    <row r="207" spans="3:3" s="7" customFormat="1" x14ac:dyDescent="0.3">
      <c r="C207" s="24"/>
    </row>
    <row r="208" spans="3:3" s="7" customFormat="1" x14ac:dyDescent="0.3">
      <c r="C208" s="24"/>
    </row>
    <row r="209" spans="3:3" s="7" customFormat="1" x14ac:dyDescent="0.3">
      <c r="C209" s="24"/>
    </row>
    <row r="210" spans="3:3" s="7" customFormat="1" x14ac:dyDescent="0.3">
      <c r="C210" s="24"/>
    </row>
    <row r="211" spans="3:3" s="7" customFormat="1" x14ac:dyDescent="0.3">
      <c r="C211" s="24"/>
    </row>
    <row r="212" spans="3:3" s="7" customFormat="1" x14ac:dyDescent="0.3">
      <c r="C212" s="24"/>
    </row>
    <row r="213" spans="3:3" s="7" customFormat="1" x14ac:dyDescent="0.3">
      <c r="C213" s="24"/>
    </row>
    <row r="214" spans="3:3" s="7" customFormat="1" x14ac:dyDescent="0.3">
      <c r="C214" s="24"/>
    </row>
    <row r="215" spans="3:3" s="7" customFormat="1" x14ac:dyDescent="0.3">
      <c r="C215" s="24"/>
    </row>
    <row r="216" spans="3:3" s="7" customFormat="1" x14ac:dyDescent="0.3">
      <c r="C216" s="24"/>
    </row>
    <row r="217" spans="3:3" s="7" customFormat="1" x14ac:dyDescent="0.3">
      <c r="C217" s="24"/>
    </row>
    <row r="218" spans="3:3" s="7" customFormat="1" x14ac:dyDescent="0.3">
      <c r="C218" s="24"/>
    </row>
    <row r="219" spans="3:3" s="7" customFormat="1" x14ac:dyDescent="0.3">
      <c r="C219" s="24"/>
    </row>
    <row r="220" spans="3:3" s="7" customFormat="1" x14ac:dyDescent="0.3">
      <c r="C220" s="24"/>
    </row>
    <row r="221" spans="3:3" s="7" customFormat="1" x14ac:dyDescent="0.3">
      <c r="C221" s="24"/>
    </row>
    <row r="222" spans="3:3" s="7" customFormat="1" x14ac:dyDescent="0.3">
      <c r="C222" s="24"/>
    </row>
    <row r="223" spans="3:3" s="7" customFormat="1" x14ac:dyDescent="0.3">
      <c r="C223" s="24"/>
    </row>
    <row r="224" spans="3:3" s="7" customFormat="1" x14ac:dyDescent="0.3">
      <c r="C224" s="24"/>
    </row>
    <row r="225" spans="3:3" s="7" customFormat="1" x14ac:dyDescent="0.3">
      <c r="C225" s="24"/>
    </row>
    <row r="226" spans="3:3" s="7" customFormat="1" x14ac:dyDescent="0.3">
      <c r="C226" s="24"/>
    </row>
    <row r="227" spans="3:3" s="7" customFormat="1" x14ac:dyDescent="0.3">
      <c r="C227" s="24"/>
    </row>
    <row r="228" spans="3:3" s="7" customFormat="1" x14ac:dyDescent="0.3">
      <c r="C228" s="24"/>
    </row>
    <row r="229" spans="3:3" s="7" customFormat="1" x14ac:dyDescent="0.3">
      <c r="C229" s="24"/>
    </row>
    <row r="230" spans="3:3" s="7" customFormat="1" x14ac:dyDescent="0.3">
      <c r="C230" s="24"/>
    </row>
    <row r="231" spans="3:3" s="7" customFormat="1" x14ac:dyDescent="0.3">
      <c r="C231" s="24"/>
    </row>
    <row r="232" spans="3:3" s="7" customFormat="1" x14ac:dyDescent="0.3">
      <c r="C232" s="24"/>
    </row>
    <row r="233" spans="3:3" s="7" customFormat="1" x14ac:dyDescent="0.3">
      <c r="C233" s="24"/>
    </row>
    <row r="234" spans="3:3" s="7" customFormat="1" x14ac:dyDescent="0.3">
      <c r="C234" s="24"/>
    </row>
    <row r="235" spans="3:3" s="7" customFormat="1" x14ac:dyDescent="0.3">
      <c r="C235" s="24"/>
    </row>
    <row r="236" spans="3:3" s="7" customFormat="1" x14ac:dyDescent="0.3">
      <c r="C236" s="24"/>
    </row>
    <row r="237" spans="3:3" s="7" customFormat="1" x14ac:dyDescent="0.3">
      <c r="C237" s="24"/>
    </row>
    <row r="238" spans="3:3" s="7" customFormat="1" x14ac:dyDescent="0.3">
      <c r="C238" s="24"/>
    </row>
    <row r="239" spans="3:3" s="7" customFormat="1" x14ac:dyDescent="0.3">
      <c r="C239" s="24"/>
    </row>
    <row r="240" spans="3:3" s="7" customFormat="1" x14ac:dyDescent="0.3">
      <c r="C240" s="24"/>
    </row>
    <row r="241" spans="3:3" s="7" customFormat="1" x14ac:dyDescent="0.3">
      <c r="C241" s="24"/>
    </row>
    <row r="242" spans="3:3" s="7" customFormat="1" x14ac:dyDescent="0.3">
      <c r="C242" s="24"/>
    </row>
    <row r="243" spans="3:3" s="7" customFormat="1" x14ac:dyDescent="0.3">
      <c r="C243" s="24"/>
    </row>
    <row r="244" spans="3:3" s="7" customFormat="1" x14ac:dyDescent="0.3">
      <c r="C244" s="24"/>
    </row>
    <row r="245" spans="3:3" s="7" customFormat="1" x14ac:dyDescent="0.3">
      <c r="C245" s="24"/>
    </row>
    <row r="246" spans="3:3" s="7" customFormat="1" x14ac:dyDescent="0.3">
      <c r="C246" s="24"/>
    </row>
    <row r="247" spans="3:3" s="7" customFormat="1" x14ac:dyDescent="0.3">
      <c r="C247" s="24"/>
    </row>
    <row r="248" spans="3:3" s="7" customFormat="1" x14ac:dyDescent="0.3">
      <c r="C248" s="24"/>
    </row>
    <row r="249" spans="3:3" s="7" customFormat="1" x14ac:dyDescent="0.3">
      <c r="C249" s="24"/>
    </row>
    <row r="250" spans="3:3" s="7" customFormat="1" x14ac:dyDescent="0.3">
      <c r="C250" s="24"/>
    </row>
    <row r="251" spans="3:3" s="7" customFormat="1" x14ac:dyDescent="0.3">
      <c r="C251" s="24"/>
    </row>
    <row r="252" spans="3:3" s="7" customFormat="1" x14ac:dyDescent="0.3">
      <c r="C252" s="24"/>
    </row>
    <row r="253" spans="3:3" s="7" customFormat="1" x14ac:dyDescent="0.3">
      <c r="C253" s="24"/>
    </row>
    <row r="254" spans="3:3" s="7" customFormat="1" x14ac:dyDescent="0.3">
      <c r="C254" s="24"/>
    </row>
    <row r="255" spans="3:3" s="7" customFormat="1" x14ac:dyDescent="0.3">
      <c r="C255" s="24"/>
    </row>
    <row r="256" spans="3:3" s="7" customFormat="1" x14ac:dyDescent="0.3">
      <c r="C256" s="24"/>
    </row>
    <row r="257" spans="3:3" s="7" customFormat="1" x14ac:dyDescent="0.3">
      <c r="C257" s="24"/>
    </row>
    <row r="258" spans="3:3" s="7" customFormat="1" x14ac:dyDescent="0.3">
      <c r="C258" s="24"/>
    </row>
    <row r="259" spans="3:3" s="7" customFormat="1" x14ac:dyDescent="0.3">
      <c r="C259" s="24"/>
    </row>
    <row r="260" spans="3:3" s="7" customFormat="1" x14ac:dyDescent="0.3">
      <c r="C260" s="24"/>
    </row>
    <row r="261" spans="3:3" s="7" customFormat="1" x14ac:dyDescent="0.3">
      <c r="C261" s="24"/>
    </row>
    <row r="262" spans="3:3" s="7" customFormat="1" x14ac:dyDescent="0.3">
      <c r="C262" s="24"/>
    </row>
    <row r="263" spans="3:3" s="7" customFormat="1" x14ac:dyDescent="0.3">
      <c r="C263" s="24"/>
    </row>
    <row r="264" spans="3:3" s="7" customFormat="1" x14ac:dyDescent="0.3">
      <c r="C264" s="24"/>
    </row>
    <row r="265" spans="3:3" s="7" customFormat="1" x14ac:dyDescent="0.3">
      <c r="C265" s="24"/>
    </row>
    <row r="266" spans="3:3" s="7" customFormat="1" x14ac:dyDescent="0.3">
      <c r="C266" s="24"/>
    </row>
    <row r="267" spans="3:3" s="7" customFormat="1" x14ac:dyDescent="0.3">
      <c r="C267" s="24"/>
    </row>
    <row r="268" spans="3:3" s="7" customFormat="1" x14ac:dyDescent="0.3">
      <c r="C268" s="24"/>
    </row>
    <row r="269" spans="3:3" s="7" customFormat="1" x14ac:dyDescent="0.3">
      <c r="C269" s="24"/>
    </row>
    <row r="270" spans="3:3" s="7" customFormat="1" x14ac:dyDescent="0.3">
      <c r="C270" s="24"/>
    </row>
    <row r="271" spans="3:3" s="7" customFormat="1" x14ac:dyDescent="0.3">
      <c r="C271" s="24"/>
    </row>
    <row r="272" spans="3:3" s="7" customFormat="1" x14ac:dyDescent="0.3">
      <c r="C272" s="24"/>
    </row>
    <row r="273" spans="3:3" s="7" customFormat="1" x14ac:dyDescent="0.3">
      <c r="C273" s="24"/>
    </row>
    <row r="274" spans="3:3" s="7" customFormat="1" x14ac:dyDescent="0.3">
      <c r="C274" s="24"/>
    </row>
    <row r="275" spans="3:3" s="7" customFormat="1" x14ac:dyDescent="0.3">
      <c r="C275" s="24"/>
    </row>
    <row r="276" spans="3:3" s="7" customFormat="1" x14ac:dyDescent="0.3">
      <c r="C276" s="24"/>
    </row>
    <row r="277" spans="3:3" s="7" customFormat="1" x14ac:dyDescent="0.3">
      <c r="C277" s="24"/>
    </row>
    <row r="278" spans="3:3" s="7" customFormat="1" x14ac:dyDescent="0.3">
      <c r="C278" s="24"/>
    </row>
    <row r="279" spans="3:3" s="7" customFormat="1" x14ac:dyDescent="0.3">
      <c r="C279" s="24"/>
    </row>
    <row r="280" spans="3:3" s="7" customFormat="1" x14ac:dyDescent="0.3">
      <c r="C280" s="24"/>
    </row>
    <row r="281" spans="3:3" s="7" customFormat="1" x14ac:dyDescent="0.3">
      <c r="C281" s="24"/>
    </row>
    <row r="282" spans="3:3" s="7" customFormat="1" x14ac:dyDescent="0.3">
      <c r="C282" s="24"/>
    </row>
    <row r="283" spans="3:3" s="7" customFormat="1" x14ac:dyDescent="0.3">
      <c r="C283" s="24"/>
    </row>
    <row r="284" spans="3:3" s="7" customFormat="1" x14ac:dyDescent="0.3">
      <c r="C284" s="24"/>
    </row>
    <row r="285" spans="3:3" s="7" customFormat="1" x14ac:dyDescent="0.3">
      <c r="C285" s="24"/>
    </row>
    <row r="286" spans="3:3" s="7" customFormat="1" x14ac:dyDescent="0.3">
      <c r="C286" s="24"/>
    </row>
    <row r="287" spans="3:3" s="7" customFormat="1" x14ac:dyDescent="0.3">
      <c r="C287" s="24"/>
    </row>
    <row r="288" spans="3:3" s="7" customFormat="1" x14ac:dyDescent="0.3">
      <c r="C288" s="24"/>
    </row>
    <row r="289" spans="3:3" s="7" customFormat="1" x14ac:dyDescent="0.3">
      <c r="C289" s="24"/>
    </row>
    <row r="290" spans="3:3" s="7" customFormat="1" x14ac:dyDescent="0.3">
      <c r="C290" s="24"/>
    </row>
    <row r="291" spans="3:3" s="7" customFormat="1" x14ac:dyDescent="0.3">
      <c r="C291" s="24"/>
    </row>
    <row r="292" spans="3:3" s="7" customFormat="1" x14ac:dyDescent="0.3">
      <c r="C292" s="24"/>
    </row>
    <row r="293" spans="3:3" s="7" customFormat="1" x14ac:dyDescent="0.3">
      <c r="C293" s="24"/>
    </row>
    <row r="294" spans="3:3" s="7" customFormat="1" x14ac:dyDescent="0.3">
      <c r="C294" s="24"/>
    </row>
    <row r="295" spans="3:3" s="7" customFormat="1" x14ac:dyDescent="0.3">
      <c r="C295" s="24"/>
    </row>
    <row r="296" spans="3:3" s="7" customFormat="1" x14ac:dyDescent="0.3">
      <c r="C296" s="24"/>
    </row>
    <row r="297" spans="3:3" s="7" customFormat="1" x14ac:dyDescent="0.3">
      <c r="C297" s="24"/>
    </row>
    <row r="298" spans="3:3" s="7" customFormat="1" x14ac:dyDescent="0.3">
      <c r="C298" s="24"/>
    </row>
    <row r="299" spans="3:3" s="7" customFormat="1" x14ac:dyDescent="0.3">
      <c r="C299" s="24"/>
    </row>
    <row r="300" spans="3:3" s="7" customFormat="1" x14ac:dyDescent="0.3">
      <c r="C300" s="24"/>
    </row>
    <row r="301" spans="3:3" s="7" customFormat="1" x14ac:dyDescent="0.3">
      <c r="C301" s="24"/>
    </row>
    <row r="302" spans="3:3" s="7" customFormat="1" x14ac:dyDescent="0.3">
      <c r="C302" s="24"/>
    </row>
    <row r="303" spans="3:3" s="7" customFormat="1" x14ac:dyDescent="0.3">
      <c r="C303" s="24"/>
    </row>
    <row r="304" spans="3:3" s="7" customFormat="1" x14ac:dyDescent="0.3">
      <c r="C304" s="24"/>
    </row>
    <row r="305" spans="3:3" s="7" customFormat="1" x14ac:dyDescent="0.3">
      <c r="C305" s="24"/>
    </row>
    <row r="306" spans="3:3" s="7" customFormat="1" x14ac:dyDescent="0.3">
      <c r="C306" s="24"/>
    </row>
    <row r="307" spans="3:3" s="7" customFormat="1" x14ac:dyDescent="0.3">
      <c r="C307" s="24"/>
    </row>
    <row r="308" spans="3:3" s="7" customFormat="1" x14ac:dyDescent="0.3">
      <c r="C308" s="24"/>
    </row>
    <row r="309" spans="3:3" s="7" customFormat="1" x14ac:dyDescent="0.3">
      <c r="C309" s="24"/>
    </row>
    <row r="310" spans="3:3" s="7" customFormat="1" x14ac:dyDescent="0.3">
      <c r="C310" s="24"/>
    </row>
    <row r="311" spans="3:3" s="7" customFormat="1" x14ac:dyDescent="0.3">
      <c r="C311" s="24"/>
    </row>
    <row r="312" spans="3:3" s="7" customFormat="1" x14ac:dyDescent="0.3">
      <c r="C312" s="24"/>
    </row>
    <row r="313" spans="3:3" s="7" customFormat="1" x14ac:dyDescent="0.3">
      <c r="C313" s="24"/>
    </row>
    <row r="314" spans="3:3" s="7" customFormat="1" x14ac:dyDescent="0.3">
      <c r="C314" s="24"/>
    </row>
    <row r="315" spans="3:3" s="7" customFormat="1" x14ac:dyDescent="0.3">
      <c r="C315" s="24"/>
    </row>
    <row r="316" spans="3:3" s="7" customFormat="1" x14ac:dyDescent="0.3">
      <c r="C316" s="24"/>
    </row>
    <row r="317" spans="3:3" s="7" customFormat="1" x14ac:dyDescent="0.3">
      <c r="C317" s="24"/>
    </row>
    <row r="318" spans="3:3" s="7" customFormat="1" x14ac:dyDescent="0.3">
      <c r="C318" s="24"/>
    </row>
    <row r="319" spans="3:3" s="7" customFormat="1" x14ac:dyDescent="0.3">
      <c r="C319" s="24"/>
    </row>
    <row r="320" spans="3:3" s="7" customFormat="1" x14ac:dyDescent="0.3">
      <c r="C320" s="24"/>
    </row>
    <row r="321" spans="3:3" s="7" customFormat="1" x14ac:dyDescent="0.3">
      <c r="C321" s="24"/>
    </row>
    <row r="322" spans="3:3" s="7" customFormat="1" x14ac:dyDescent="0.3">
      <c r="C322" s="24"/>
    </row>
    <row r="323" spans="3:3" s="7" customFormat="1" x14ac:dyDescent="0.3">
      <c r="C323" s="24"/>
    </row>
    <row r="324" spans="3:3" s="7" customFormat="1" x14ac:dyDescent="0.3">
      <c r="C324" s="24"/>
    </row>
    <row r="325" spans="3:3" s="7" customFormat="1" x14ac:dyDescent="0.3">
      <c r="C325" s="24"/>
    </row>
    <row r="326" spans="3:3" s="7" customFormat="1" x14ac:dyDescent="0.3">
      <c r="C326" s="24"/>
    </row>
    <row r="327" spans="3:3" s="7" customFormat="1" x14ac:dyDescent="0.3">
      <c r="C327" s="24"/>
    </row>
    <row r="328" spans="3:3" s="7" customFormat="1" x14ac:dyDescent="0.3">
      <c r="C328" s="24"/>
    </row>
    <row r="329" spans="3:3" s="7" customFormat="1" x14ac:dyDescent="0.3">
      <c r="C329" s="24"/>
    </row>
    <row r="330" spans="3:3" s="7" customFormat="1" x14ac:dyDescent="0.3">
      <c r="C330" s="24"/>
    </row>
    <row r="331" spans="3:3" s="7" customFormat="1" x14ac:dyDescent="0.3">
      <c r="C331" s="24"/>
    </row>
    <row r="332" spans="3:3" s="7" customFormat="1" x14ac:dyDescent="0.3">
      <c r="C332" s="24"/>
    </row>
    <row r="333" spans="3:3" s="7" customFormat="1" x14ac:dyDescent="0.3">
      <c r="C333" s="24"/>
    </row>
    <row r="334" spans="3:3" s="7" customFormat="1" x14ac:dyDescent="0.3">
      <c r="C334" s="24"/>
    </row>
    <row r="335" spans="3:3" s="7" customFormat="1" x14ac:dyDescent="0.3">
      <c r="C335" s="24"/>
    </row>
    <row r="336" spans="3:3" s="7" customFormat="1" x14ac:dyDescent="0.3">
      <c r="C336" s="24"/>
    </row>
    <row r="337" spans="3:3" s="7" customFormat="1" x14ac:dyDescent="0.3">
      <c r="C337" s="24"/>
    </row>
    <row r="338" spans="3:3" s="7" customFormat="1" x14ac:dyDescent="0.3">
      <c r="C338" s="24"/>
    </row>
    <row r="339" spans="3:3" s="7" customFormat="1" x14ac:dyDescent="0.3">
      <c r="C339" s="24"/>
    </row>
    <row r="340" spans="3:3" s="7" customFormat="1" x14ac:dyDescent="0.3">
      <c r="C340" s="24"/>
    </row>
    <row r="341" spans="3:3" s="7" customFormat="1" x14ac:dyDescent="0.3">
      <c r="C341" s="24"/>
    </row>
    <row r="342" spans="3:3" s="7" customFormat="1" x14ac:dyDescent="0.3">
      <c r="C342" s="24"/>
    </row>
    <row r="343" spans="3:3" s="7" customFormat="1" x14ac:dyDescent="0.3">
      <c r="C343" s="24"/>
    </row>
    <row r="344" spans="3:3" s="7" customFormat="1" x14ac:dyDescent="0.3">
      <c r="C344" s="24"/>
    </row>
    <row r="345" spans="3:3" s="7" customFormat="1" x14ac:dyDescent="0.3">
      <c r="C345" s="24"/>
    </row>
    <row r="346" spans="3:3" s="7" customFormat="1" x14ac:dyDescent="0.3">
      <c r="C346" s="24"/>
    </row>
    <row r="347" spans="3:3" s="7" customFormat="1" x14ac:dyDescent="0.3">
      <c r="C347" s="24"/>
    </row>
    <row r="348" spans="3:3" s="7" customFormat="1" x14ac:dyDescent="0.3">
      <c r="C348" s="24"/>
    </row>
    <row r="349" spans="3:3" s="7" customFormat="1" x14ac:dyDescent="0.3">
      <c r="C349" s="24"/>
    </row>
    <row r="350" spans="3:3" s="7" customFormat="1" x14ac:dyDescent="0.3">
      <c r="C350" s="24"/>
    </row>
    <row r="351" spans="3:3" s="7" customFormat="1" x14ac:dyDescent="0.3">
      <c r="C351" s="24"/>
    </row>
    <row r="352" spans="3:3" s="7" customFormat="1" x14ac:dyDescent="0.3">
      <c r="C352" s="24"/>
    </row>
    <row r="353" spans="3:3" s="7" customFormat="1" x14ac:dyDescent="0.3">
      <c r="C353" s="24"/>
    </row>
    <row r="354" spans="3:3" s="7" customFormat="1" x14ac:dyDescent="0.3">
      <c r="C354" s="24"/>
    </row>
    <row r="355" spans="3:3" s="7" customFormat="1" x14ac:dyDescent="0.3">
      <c r="C355" s="24"/>
    </row>
    <row r="356" spans="3:3" s="7" customFormat="1" x14ac:dyDescent="0.3">
      <c r="C356" s="24"/>
    </row>
    <row r="357" spans="3:3" s="7" customFormat="1" x14ac:dyDescent="0.3">
      <c r="C357" s="24"/>
    </row>
    <row r="358" spans="3:3" s="7" customFormat="1" x14ac:dyDescent="0.3">
      <c r="C358" s="24"/>
    </row>
    <row r="359" spans="3:3" s="7" customFormat="1" x14ac:dyDescent="0.3">
      <c r="C359" s="24"/>
    </row>
    <row r="360" spans="3:3" s="7" customFormat="1" x14ac:dyDescent="0.3">
      <c r="C360" s="24"/>
    </row>
    <row r="361" spans="3:3" s="7" customFormat="1" x14ac:dyDescent="0.3">
      <c r="C361" s="24"/>
    </row>
    <row r="362" spans="3:3" s="7" customFormat="1" x14ac:dyDescent="0.3">
      <c r="C362" s="24"/>
    </row>
    <row r="363" spans="3:3" s="7" customFormat="1" x14ac:dyDescent="0.3">
      <c r="C363" s="24"/>
    </row>
    <row r="364" spans="3:3" s="7" customFormat="1" x14ac:dyDescent="0.3">
      <c r="C364" s="24"/>
    </row>
    <row r="365" spans="3:3" s="7" customFormat="1" x14ac:dyDescent="0.3">
      <c r="C365" s="24"/>
    </row>
    <row r="366" spans="3:3" s="7" customFormat="1" x14ac:dyDescent="0.3">
      <c r="C366" s="24"/>
    </row>
    <row r="367" spans="3:3" s="7" customFormat="1" x14ac:dyDescent="0.3">
      <c r="C367" s="24"/>
    </row>
    <row r="368" spans="3:3" s="7" customFormat="1" x14ac:dyDescent="0.3">
      <c r="C368" s="24"/>
    </row>
    <row r="369" spans="3:3" s="7" customFormat="1" x14ac:dyDescent="0.3">
      <c r="C369" s="24"/>
    </row>
    <row r="370" spans="3:3" s="7" customFormat="1" x14ac:dyDescent="0.3">
      <c r="C370" s="24"/>
    </row>
    <row r="371" spans="3:3" s="7" customFormat="1" x14ac:dyDescent="0.3">
      <c r="C371" s="24"/>
    </row>
    <row r="372" spans="3:3" s="7" customFormat="1" x14ac:dyDescent="0.3">
      <c r="C372" s="24"/>
    </row>
    <row r="373" spans="3:3" s="7" customFormat="1" x14ac:dyDescent="0.3">
      <c r="C373" s="24"/>
    </row>
    <row r="374" spans="3:3" s="7" customFormat="1" x14ac:dyDescent="0.3">
      <c r="C374" s="24"/>
    </row>
    <row r="375" spans="3:3" s="7" customFormat="1" x14ac:dyDescent="0.3">
      <c r="C375" s="24"/>
    </row>
    <row r="376" spans="3:3" s="7" customFormat="1" x14ac:dyDescent="0.3">
      <c r="C376" s="24"/>
    </row>
    <row r="377" spans="3:3" s="7" customFormat="1" x14ac:dyDescent="0.3">
      <c r="C377" s="24"/>
    </row>
    <row r="378" spans="3:3" s="7" customFormat="1" x14ac:dyDescent="0.3">
      <c r="C378" s="24"/>
    </row>
    <row r="379" spans="3:3" s="7" customFormat="1" x14ac:dyDescent="0.3">
      <c r="C379" s="24"/>
    </row>
    <row r="380" spans="3:3" s="7" customFormat="1" x14ac:dyDescent="0.3">
      <c r="C380" s="24"/>
    </row>
    <row r="381" spans="3:3" s="7" customFormat="1" x14ac:dyDescent="0.3">
      <c r="C381" s="24"/>
    </row>
    <row r="382" spans="3:3" s="7" customFormat="1" x14ac:dyDescent="0.3">
      <c r="C382" s="24"/>
    </row>
    <row r="383" spans="3:3" s="7" customFormat="1" x14ac:dyDescent="0.3">
      <c r="C383" s="24"/>
    </row>
    <row r="384" spans="3:3" s="7" customFormat="1" x14ac:dyDescent="0.3">
      <c r="C384" s="24"/>
    </row>
    <row r="385" spans="3:3" s="7" customFormat="1" x14ac:dyDescent="0.3">
      <c r="C385" s="24"/>
    </row>
    <row r="386" spans="3:3" s="7" customFormat="1" x14ac:dyDescent="0.3">
      <c r="C386" s="24"/>
    </row>
    <row r="387" spans="3:3" s="7" customFormat="1" x14ac:dyDescent="0.3">
      <c r="C387" s="24"/>
    </row>
    <row r="388" spans="3:3" s="7" customFormat="1" x14ac:dyDescent="0.3">
      <c r="C388" s="24"/>
    </row>
    <row r="389" spans="3:3" s="7" customFormat="1" x14ac:dyDescent="0.3">
      <c r="C389" s="24"/>
    </row>
    <row r="390" spans="3:3" s="7" customFormat="1" x14ac:dyDescent="0.3">
      <c r="C390" s="24"/>
    </row>
    <row r="391" spans="3:3" s="7" customFormat="1" x14ac:dyDescent="0.3">
      <c r="C391" s="24"/>
    </row>
    <row r="392" spans="3:3" s="7" customFormat="1" x14ac:dyDescent="0.3">
      <c r="C392" s="24"/>
    </row>
    <row r="393" spans="3:3" s="7" customFormat="1" x14ac:dyDescent="0.3">
      <c r="C393" s="24"/>
    </row>
    <row r="394" spans="3:3" s="7" customFormat="1" x14ac:dyDescent="0.3">
      <c r="C394" s="24"/>
    </row>
    <row r="395" spans="3:3" s="7" customFormat="1" x14ac:dyDescent="0.3">
      <c r="C395" s="24"/>
    </row>
    <row r="396" spans="3:3" s="7" customFormat="1" x14ac:dyDescent="0.3">
      <c r="C396" s="24"/>
    </row>
    <row r="397" spans="3:3" s="7" customFormat="1" x14ac:dyDescent="0.3">
      <c r="C397" s="24"/>
    </row>
    <row r="398" spans="3:3" s="7" customFormat="1" x14ac:dyDescent="0.3">
      <c r="C398" s="24"/>
    </row>
    <row r="399" spans="3:3" s="7" customFormat="1" x14ac:dyDescent="0.3">
      <c r="C399" s="24"/>
    </row>
    <row r="400" spans="3:3" s="7" customFormat="1" x14ac:dyDescent="0.3">
      <c r="C400" s="24"/>
    </row>
    <row r="401" spans="3:3" s="7" customFormat="1" x14ac:dyDescent="0.3">
      <c r="C401" s="24"/>
    </row>
    <row r="402" spans="3:3" s="7" customFormat="1" x14ac:dyDescent="0.3">
      <c r="C402" s="24"/>
    </row>
    <row r="403" spans="3:3" s="7" customFormat="1" x14ac:dyDescent="0.3">
      <c r="C403" s="24"/>
    </row>
    <row r="404" spans="3:3" s="7" customFormat="1" x14ac:dyDescent="0.3">
      <c r="C404" s="24"/>
    </row>
    <row r="405" spans="3:3" s="7" customFormat="1" x14ac:dyDescent="0.3">
      <c r="C405" s="24"/>
    </row>
    <row r="406" spans="3:3" s="7" customFormat="1" x14ac:dyDescent="0.3">
      <c r="C406" s="24"/>
    </row>
    <row r="407" spans="3:3" s="7" customFormat="1" x14ac:dyDescent="0.3">
      <c r="C407" s="24"/>
    </row>
    <row r="408" spans="3:3" s="7" customFormat="1" x14ac:dyDescent="0.3">
      <c r="C408" s="24"/>
    </row>
    <row r="409" spans="3:3" s="7" customFormat="1" x14ac:dyDescent="0.3">
      <c r="C409" s="24"/>
    </row>
    <row r="410" spans="3:3" s="7" customFormat="1" x14ac:dyDescent="0.3">
      <c r="C410" s="24"/>
    </row>
    <row r="411" spans="3:3" s="7" customFormat="1" x14ac:dyDescent="0.3">
      <c r="C411" s="24"/>
    </row>
    <row r="412" spans="3:3" s="7" customFormat="1" x14ac:dyDescent="0.3">
      <c r="C412" s="24"/>
    </row>
    <row r="413" spans="3:3" s="7" customFormat="1" x14ac:dyDescent="0.3">
      <c r="C413" s="24"/>
    </row>
    <row r="414" spans="3:3" s="7" customFormat="1" x14ac:dyDescent="0.3">
      <c r="C414" s="24"/>
    </row>
    <row r="415" spans="3:3" s="7" customFormat="1" x14ac:dyDescent="0.3">
      <c r="C415" s="24"/>
    </row>
    <row r="416" spans="3:3" s="7" customFormat="1" x14ac:dyDescent="0.3">
      <c r="C416" s="24"/>
    </row>
    <row r="417" spans="3:3" s="7" customFormat="1" x14ac:dyDescent="0.3">
      <c r="C417" s="24"/>
    </row>
    <row r="418" spans="3:3" s="7" customFormat="1" x14ac:dyDescent="0.3">
      <c r="C418" s="24"/>
    </row>
    <row r="419" spans="3:3" s="7" customFormat="1" x14ac:dyDescent="0.3">
      <c r="C419" s="24"/>
    </row>
    <row r="420" spans="3:3" s="7" customFormat="1" x14ac:dyDescent="0.3">
      <c r="C420" s="24"/>
    </row>
    <row r="421" spans="3:3" s="7" customFormat="1" x14ac:dyDescent="0.3">
      <c r="C421" s="24"/>
    </row>
    <row r="422" spans="3:3" s="7" customFormat="1" x14ac:dyDescent="0.3">
      <c r="C422" s="24"/>
    </row>
    <row r="423" spans="3:3" s="7" customFormat="1" x14ac:dyDescent="0.3">
      <c r="C423" s="24"/>
    </row>
    <row r="424" spans="3:3" s="7" customFormat="1" x14ac:dyDescent="0.3">
      <c r="C424" s="24"/>
    </row>
    <row r="425" spans="3:3" s="7" customFormat="1" x14ac:dyDescent="0.3">
      <c r="C425" s="24"/>
    </row>
    <row r="426" spans="3:3" s="7" customFormat="1" x14ac:dyDescent="0.3">
      <c r="C426" s="24"/>
    </row>
    <row r="427" spans="3:3" s="7" customFormat="1" x14ac:dyDescent="0.3">
      <c r="C427" s="24"/>
    </row>
    <row r="428" spans="3:3" s="7" customFormat="1" x14ac:dyDescent="0.3">
      <c r="C428" s="24"/>
    </row>
    <row r="429" spans="3:3" s="7" customFormat="1" x14ac:dyDescent="0.3">
      <c r="C429" s="24"/>
    </row>
    <row r="430" spans="3:3" s="7" customFormat="1" x14ac:dyDescent="0.3">
      <c r="C430" s="24"/>
    </row>
    <row r="431" spans="3:3" s="7" customFormat="1" x14ac:dyDescent="0.3">
      <c r="C431" s="24"/>
    </row>
    <row r="432" spans="3:3" s="7" customFormat="1" x14ac:dyDescent="0.3">
      <c r="C432" s="24"/>
    </row>
    <row r="433" spans="3:3" s="7" customFormat="1" x14ac:dyDescent="0.3">
      <c r="C433" s="24"/>
    </row>
    <row r="434" spans="3:3" s="7" customFormat="1" x14ac:dyDescent="0.3">
      <c r="C434" s="24"/>
    </row>
    <row r="435" spans="3:3" s="7" customFormat="1" x14ac:dyDescent="0.3">
      <c r="C435" s="24"/>
    </row>
    <row r="436" spans="3:3" s="7" customFormat="1" x14ac:dyDescent="0.3">
      <c r="C436" s="24"/>
    </row>
    <row r="437" spans="3:3" s="7" customFormat="1" x14ac:dyDescent="0.3">
      <c r="C437" s="24"/>
    </row>
    <row r="438" spans="3:3" s="7" customFormat="1" x14ac:dyDescent="0.3">
      <c r="C438" s="24"/>
    </row>
    <row r="439" spans="3:3" s="7" customFormat="1" x14ac:dyDescent="0.3">
      <c r="C439" s="24"/>
    </row>
    <row r="440" spans="3:3" s="7" customFormat="1" x14ac:dyDescent="0.3">
      <c r="C440" s="24"/>
    </row>
    <row r="441" spans="3:3" s="7" customFormat="1" x14ac:dyDescent="0.3">
      <c r="C441" s="24"/>
    </row>
    <row r="442" spans="3:3" s="7" customFormat="1" x14ac:dyDescent="0.3">
      <c r="C442" s="24"/>
    </row>
    <row r="443" spans="3:3" s="7" customFormat="1" x14ac:dyDescent="0.3">
      <c r="C443" s="24"/>
    </row>
    <row r="444" spans="3:3" s="7" customFormat="1" x14ac:dyDescent="0.3">
      <c r="C444" s="24"/>
    </row>
    <row r="445" spans="3:3" s="7" customFormat="1" x14ac:dyDescent="0.3">
      <c r="C445" s="24"/>
    </row>
    <row r="446" spans="3:3" s="7" customFormat="1" x14ac:dyDescent="0.3">
      <c r="C446" s="24"/>
    </row>
    <row r="447" spans="3:3" s="7" customFormat="1" x14ac:dyDescent="0.3">
      <c r="C447" s="24"/>
    </row>
    <row r="448" spans="3:3" s="7" customFormat="1" x14ac:dyDescent="0.3">
      <c r="C448" s="24"/>
    </row>
    <row r="449" spans="3:3" s="7" customFormat="1" x14ac:dyDescent="0.3">
      <c r="C449" s="24"/>
    </row>
    <row r="450" spans="3:3" s="7" customFormat="1" x14ac:dyDescent="0.3">
      <c r="C450" s="24"/>
    </row>
    <row r="451" spans="3:3" s="7" customFormat="1" x14ac:dyDescent="0.3">
      <c r="C451" s="24"/>
    </row>
    <row r="452" spans="3:3" s="7" customFormat="1" x14ac:dyDescent="0.3">
      <c r="C452" s="24"/>
    </row>
    <row r="453" spans="3:3" s="7" customFormat="1" x14ac:dyDescent="0.3">
      <c r="C453" s="24"/>
    </row>
    <row r="454" spans="3:3" s="7" customFormat="1" x14ac:dyDescent="0.3">
      <c r="C454" s="24"/>
    </row>
    <row r="455" spans="3:3" s="7" customFormat="1" x14ac:dyDescent="0.3">
      <c r="C455" s="24"/>
    </row>
    <row r="456" spans="3:3" s="7" customFormat="1" x14ac:dyDescent="0.3">
      <c r="C456" s="24"/>
    </row>
    <row r="457" spans="3:3" s="7" customFormat="1" x14ac:dyDescent="0.3">
      <c r="C457" s="24"/>
    </row>
    <row r="458" spans="3:3" s="7" customFormat="1" x14ac:dyDescent="0.3">
      <c r="C458" s="24"/>
    </row>
    <row r="459" spans="3:3" s="7" customFormat="1" x14ac:dyDescent="0.3">
      <c r="C459" s="24"/>
    </row>
    <row r="460" spans="3:3" s="7" customFormat="1" x14ac:dyDescent="0.3">
      <c r="C460" s="24"/>
    </row>
    <row r="461" spans="3:3" s="7" customFormat="1" x14ac:dyDescent="0.3">
      <c r="C461" s="24"/>
    </row>
    <row r="462" spans="3:3" s="7" customFormat="1" x14ac:dyDescent="0.3">
      <c r="C462" s="24"/>
    </row>
    <row r="463" spans="3:3" s="7" customFormat="1" x14ac:dyDescent="0.3">
      <c r="C463" s="24"/>
    </row>
    <row r="464" spans="3:3" s="7" customFormat="1" x14ac:dyDescent="0.3">
      <c r="C464" s="24"/>
    </row>
    <row r="465" spans="3:3" s="7" customFormat="1" x14ac:dyDescent="0.3">
      <c r="C465" s="24"/>
    </row>
    <row r="466" spans="3:3" s="7" customFormat="1" x14ac:dyDescent="0.3">
      <c r="C466" s="24"/>
    </row>
    <row r="467" spans="3:3" s="7" customFormat="1" x14ac:dyDescent="0.3">
      <c r="C467" s="24"/>
    </row>
    <row r="468" spans="3:3" s="7" customFormat="1" x14ac:dyDescent="0.3">
      <c r="C468" s="24"/>
    </row>
    <row r="469" spans="3:3" s="7" customFormat="1" x14ac:dyDescent="0.3">
      <c r="C469" s="24"/>
    </row>
    <row r="470" spans="3:3" s="7" customFormat="1" x14ac:dyDescent="0.3">
      <c r="C470" s="24"/>
    </row>
    <row r="471" spans="3:3" s="7" customFormat="1" x14ac:dyDescent="0.3">
      <c r="C471" s="24"/>
    </row>
    <row r="472" spans="3:3" s="7" customFormat="1" x14ac:dyDescent="0.3">
      <c r="C472" s="24"/>
    </row>
    <row r="473" spans="3:3" s="7" customFormat="1" x14ac:dyDescent="0.3">
      <c r="C473" s="24"/>
    </row>
    <row r="474" spans="3:3" s="7" customFormat="1" x14ac:dyDescent="0.3">
      <c r="C474" s="24"/>
    </row>
    <row r="475" spans="3:3" s="7" customFormat="1" x14ac:dyDescent="0.3">
      <c r="C475" s="24"/>
    </row>
    <row r="476" spans="3:3" s="7" customFormat="1" x14ac:dyDescent="0.3">
      <c r="C476" s="24"/>
    </row>
    <row r="477" spans="3:3" s="7" customFormat="1" x14ac:dyDescent="0.3">
      <c r="C477" s="24"/>
    </row>
    <row r="478" spans="3:3" s="7" customFormat="1" x14ac:dyDescent="0.3">
      <c r="C478" s="24"/>
    </row>
    <row r="479" spans="3:3" s="7" customFormat="1" x14ac:dyDescent="0.3">
      <c r="C479" s="24"/>
    </row>
    <row r="480" spans="3:3" s="7" customFormat="1" x14ac:dyDescent="0.3">
      <c r="C480" s="24"/>
    </row>
    <row r="481" spans="3:3" s="7" customFormat="1" x14ac:dyDescent="0.3">
      <c r="C481" s="24"/>
    </row>
    <row r="482" spans="3:3" s="7" customFormat="1" x14ac:dyDescent="0.3">
      <c r="C482" s="24"/>
    </row>
    <row r="483" spans="3:3" s="7" customFormat="1" x14ac:dyDescent="0.3">
      <c r="C483" s="24"/>
    </row>
    <row r="484" spans="3:3" s="7" customFormat="1" x14ac:dyDescent="0.3">
      <c r="C484" s="24"/>
    </row>
    <row r="485" spans="3:3" s="7" customFormat="1" x14ac:dyDescent="0.3">
      <c r="C485" s="24"/>
    </row>
    <row r="486" spans="3:3" s="7" customFormat="1" x14ac:dyDescent="0.3">
      <c r="C486" s="24"/>
    </row>
    <row r="487" spans="3:3" s="7" customFormat="1" x14ac:dyDescent="0.3">
      <c r="C487" s="24"/>
    </row>
    <row r="488" spans="3:3" s="7" customFormat="1" x14ac:dyDescent="0.3">
      <c r="C488" s="24"/>
    </row>
    <row r="489" spans="3:3" s="7" customFormat="1" x14ac:dyDescent="0.3">
      <c r="C489" s="24"/>
    </row>
    <row r="490" spans="3:3" s="7" customFormat="1" x14ac:dyDescent="0.3">
      <c r="C490" s="24"/>
    </row>
    <row r="491" spans="3:3" s="7" customFormat="1" x14ac:dyDescent="0.3">
      <c r="C491" s="24"/>
    </row>
    <row r="492" spans="3:3" s="7" customFormat="1" x14ac:dyDescent="0.3">
      <c r="C492" s="24"/>
    </row>
    <row r="493" spans="3:3" s="7" customFormat="1" x14ac:dyDescent="0.3">
      <c r="C493" s="24"/>
    </row>
    <row r="494" spans="3:3" s="7" customFormat="1" x14ac:dyDescent="0.3">
      <c r="C494" s="24"/>
    </row>
    <row r="495" spans="3:3" s="7" customFormat="1" x14ac:dyDescent="0.3">
      <c r="C495" s="24"/>
    </row>
    <row r="496" spans="3:3" s="7" customFormat="1" x14ac:dyDescent="0.3">
      <c r="C496" s="24"/>
    </row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300"/>
  <sheetViews>
    <sheetView showGridLines="0" tabSelected="1" zoomScale="87" zoomScaleNormal="87" workbookViewId="0">
      <selection activeCell="Y7" sqref="Y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6" style="33" bestFit="1" customWidth="1"/>
    <col min="2" max="2" width="3.5546875" style="33" customWidth="1"/>
    <col min="3" max="3" width="8.88671875" style="33"/>
    <col min="4" max="4" width="24.109375" style="33" customWidth="1"/>
    <col min="12" max="12" width="6.5546875" customWidth="1"/>
    <col min="17" max="17" width="8.88671875" customWidth="1"/>
    <col min="23" max="23" width="11.88671875" customWidth="1"/>
  </cols>
  <sheetData>
    <row r="1" spans="1:23" s="12" customFormat="1" ht="45" customHeight="1" thickBot="1" x14ac:dyDescent="0.35">
      <c r="A1" s="31"/>
      <c r="B1" s="32"/>
      <c r="C1" s="36" t="s">
        <v>326</v>
      </c>
      <c r="D1" s="32"/>
      <c r="E1" s="35"/>
      <c r="F1" s="39" t="s">
        <v>330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7" t="s">
        <v>332</v>
      </c>
      <c r="R1" s="38"/>
      <c r="S1" s="34"/>
      <c r="T1" s="34"/>
      <c r="U1" s="34"/>
      <c r="V1" s="34"/>
      <c r="W1" s="34"/>
    </row>
    <row r="2" spans="1:23" s="7" customFormat="1" ht="15" thickTop="1" x14ac:dyDescent="0.3">
      <c r="A2" s="33"/>
      <c r="B2" s="33"/>
      <c r="C2" s="33"/>
      <c r="D2" s="33"/>
    </row>
    <row r="3" spans="1:23" s="7" customFormat="1" x14ac:dyDescent="0.3">
      <c r="A3" s="33"/>
      <c r="B3" s="33"/>
      <c r="C3" s="33"/>
      <c r="D3" s="33"/>
    </row>
    <row r="4" spans="1:23" s="7" customFormat="1" x14ac:dyDescent="0.3">
      <c r="A4" s="33"/>
      <c r="B4" s="33"/>
      <c r="C4" s="33"/>
      <c r="D4" s="33"/>
    </row>
    <row r="5" spans="1:23" s="7" customFormat="1" x14ac:dyDescent="0.3">
      <c r="A5" s="33"/>
      <c r="B5" s="33"/>
      <c r="C5" s="33"/>
      <c r="D5" s="33"/>
    </row>
    <row r="6" spans="1:23" s="7" customFormat="1" x14ac:dyDescent="0.3">
      <c r="A6" s="33"/>
      <c r="B6" s="33"/>
      <c r="C6" s="33"/>
      <c r="D6" s="33"/>
    </row>
    <row r="7" spans="1:23" s="7" customFormat="1" x14ac:dyDescent="0.3">
      <c r="A7" s="33"/>
      <c r="B7" s="33"/>
      <c r="C7" s="33"/>
      <c r="D7" s="33"/>
    </row>
    <row r="8" spans="1:23" s="7" customFormat="1" x14ac:dyDescent="0.3">
      <c r="A8" s="33"/>
      <c r="B8" s="33"/>
      <c r="C8" s="33"/>
      <c r="D8" s="33"/>
    </row>
    <row r="9" spans="1:23" s="7" customFormat="1" x14ac:dyDescent="0.3">
      <c r="A9" s="33"/>
      <c r="B9" s="33"/>
      <c r="C9" s="33"/>
      <c r="D9" s="33"/>
    </row>
    <row r="10" spans="1:23" s="7" customFormat="1" x14ac:dyDescent="0.3">
      <c r="A10" s="33"/>
      <c r="B10" s="33"/>
      <c r="C10" s="33"/>
      <c r="D10" s="33"/>
    </row>
    <row r="11" spans="1:23" s="7" customFormat="1" x14ac:dyDescent="0.3">
      <c r="A11" s="33"/>
      <c r="B11" s="33"/>
      <c r="C11" s="33"/>
      <c r="D11" s="33"/>
    </row>
    <row r="12" spans="1:23" s="7" customFormat="1" x14ac:dyDescent="0.3">
      <c r="A12" s="33"/>
      <c r="B12" s="33"/>
      <c r="C12" s="33"/>
      <c r="D12" s="33"/>
    </row>
    <row r="13" spans="1:23" s="7" customFormat="1" x14ac:dyDescent="0.3">
      <c r="A13" s="33"/>
      <c r="B13" s="33"/>
      <c r="C13" s="33"/>
      <c r="D13" s="33"/>
    </row>
    <row r="14" spans="1:23" s="7" customFormat="1" x14ac:dyDescent="0.3">
      <c r="A14" s="33"/>
      <c r="B14" s="33"/>
      <c r="C14" s="33"/>
      <c r="D14" s="33"/>
    </row>
    <row r="15" spans="1:23" s="7" customFormat="1" x14ac:dyDescent="0.3">
      <c r="A15" s="33"/>
      <c r="B15" s="33"/>
      <c r="C15" s="33"/>
      <c r="D15" s="33"/>
    </row>
    <row r="16" spans="1:23" s="7" customFormat="1" x14ac:dyDescent="0.3">
      <c r="A16" s="33"/>
      <c r="B16" s="33"/>
      <c r="C16" s="33"/>
      <c r="D16" s="33"/>
    </row>
    <row r="17" spans="1:4" s="7" customFormat="1" x14ac:dyDescent="0.3">
      <c r="A17" s="33"/>
      <c r="B17" s="33"/>
      <c r="C17" s="33"/>
      <c r="D17" s="33"/>
    </row>
    <row r="18" spans="1:4" s="7" customFormat="1" x14ac:dyDescent="0.3">
      <c r="A18" s="33"/>
      <c r="B18" s="33"/>
      <c r="C18" s="33"/>
      <c r="D18" s="33"/>
    </row>
    <row r="19" spans="1:4" s="7" customFormat="1" x14ac:dyDescent="0.3">
      <c r="A19" s="33"/>
      <c r="B19" s="33"/>
      <c r="C19" s="33"/>
      <c r="D19" s="33"/>
    </row>
    <row r="20" spans="1:4" s="7" customFormat="1" x14ac:dyDescent="0.3">
      <c r="A20" s="33"/>
      <c r="B20" s="33"/>
      <c r="C20" s="33"/>
      <c r="D20" s="33"/>
    </row>
    <row r="21" spans="1:4" s="7" customFormat="1" x14ac:dyDescent="0.3">
      <c r="A21" s="33"/>
      <c r="B21" s="33"/>
      <c r="C21" s="33"/>
      <c r="D21" s="33"/>
    </row>
    <row r="22" spans="1:4" s="7" customFormat="1" x14ac:dyDescent="0.3">
      <c r="A22" s="33"/>
      <c r="B22" s="33"/>
      <c r="C22" s="33"/>
      <c r="D22" s="33"/>
    </row>
    <row r="23" spans="1:4" s="7" customFormat="1" x14ac:dyDescent="0.3">
      <c r="A23" s="33"/>
      <c r="B23" s="33"/>
      <c r="C23" s="33"/>
      <c r="D23" s="33"/>
    </row>
    <row r="24" spans="1:4" s="7" customFormat="1" x14ac:dyDescent="0.3">
      <c r="A24" s="33"/>
      <c r="B24" s="33"/>
      <c r="C24" s="33"/>
      <c r="D24" s="33"/>
    </row>
    <row r="25" spans="1:4" s="7" customFormat="1" x14ac:dyDescent="0.3">
      <c r="A25" s="33"/>
      <c r="B25" s="33"/>
      <c r="C25" s="33"/>
      <c r="D25" s="33"/>
    </row>
    <row r="26" spans="1:4" s="7" customFormat="1" x14ac:dyDescent="0.3">
      <c r="A26" s="33"/>
      <c r="B26" s="33"/>
      <c r="C26" s="33"/>
      <c r="D26" s="33"/>
    </row>
    <row r="27" spans="1:4" s="7" customFormat="1" x14ac:dyDescent="0.3">
      <c r="A27" s="33"/>
      <c r="B27" s="33"/>
      <c r="C27" s="33"/>
      <c r="D27" s="33"/>
    </row>
    <row r="28" spans="1:4" s="7" customFormat="1" x14ac:dyDescent="0.3">
      <c r="A28" s="33"/>
      <c r="B28" s="33"/>
      <c r="C28" s="33"/>
      <c r="D28" s="33"/>
    </row>
    <row r="29" spans="1:4" s="7" customFormat="1" x14ac:dyDescent="0.3">
      <c r="A29" s="33"/>
      <c r="B29" s="33"/>
      <c r="C29" s="33"/>
      <c r="D29" s="33"/>
    </row>
    <row r="30" spans="1:4" s="7" customFormat="1" x14ac:dyDescent="0.3">
      <c r="A30" s="33"/>
      <c r="B30" s="33"/>
      <c r="C30" s="33"/>
      <c r="D30" s="33"/>
    </row>
    <row r="31" spans="1:4" s="7" customFormat="1" x14ac:dyDescent="0.3">
      <c r="A31" s="33"/>
      <c r="B31" s="33"/>
      <c r="C31" s="33"/>
      <c r="D31" s="33"/>
    </row>
    <row r="32" spans="1:4" s="7" customFormat="1" x14ac:dyDescent="0.3">
      <c r="A32" s="33"/>
      <c r="B32" s="33"/>
      <c r="C32" s="33"/>
      <c r="D32" s="33"/>
    </row>
    <row r="33" spans="1:4" s="7" customFormat="1" x14ac:dyDescent="0.3">
      <c r="A33" s="33"/>
      <c r="B33" s="33"/>
      <c r="C33" s="33"/>
      <c r="D33" s="33"/>
    </row>
    <row r="34" spans="1:4" s="7" customFormat="1" x14ac:dyDescent="0.3">
      <c r="A34" s="33"/>
      <c r="B34" s="33"/>
      <c r="C34" s="33"/>
      <c r="D34" s="33"/>
    </row>
    <row r="35" spans="1:4" s="7" customFormat="1" x14ac:dyDescent="0.3">
      <c r="A35" s="33"/>
      <c r="B35" s="33"/>
      <c r="C35" s="33"/>
      <c r="D35" s="33"/>
    </row>
    <row r="36" spans="1:4" s="7" customFormat="1" x14ac:dyDescent="0.3">
      <c r="A36" s="33"/>
      <c r="B36" s="33"/>
      <c r="C36" s="33"/>
      <c r="D36" s="33"/>
    </row>
    <row r="37" spans="1:4" s="7" customFormat="1" x14ac:dyDescent="0.3">
      <c r="A37" s="33"/>
      <c r="B37" s="33"/>
      <c r="C37" s="33"/>
      <c r="D37" s="33"/>
    </row>
    <row r="38" spans="1:4" s="7" customFormat="1" x14ac:dyDescent="0.3">
      <c r="A38" s="33"/>
      <c r="B38" s="33"/>
      <c r="C38" s="33"/>
      <c r="D38" s="33"/>
    </row>
    <row r="39" spans="1:4" s="7" customFormat="1" x14ac:dyDescent="0.3">
      <c r="A39" s="33"/>
      <c r="B39" s="33"/>
      <c r="C39" s="33"/>
      <c r="D39" s="33"/>
    </row>
    <row r="40" spans="1:4" s="7" customFormat="1" x14ac:dyDescent="0.3">
      <c r="A40" s="33"/>
      <c r="B40" s="33"/>
      <c r="C40" s="33"/>
      <c r="D40" s="33"/>
    </row>
    <row r="41" spans="1:4" s="7" customFormat="1" x14ac:dyDescent="0.3">
      <c r="A41" s="33"/>
      <c r="B41" s="33"/>
      <c r="C41" s="33"/>
      <c r="D41" s="33"/>
    </row>
    <row r="42" spans="1:4" s="7" customFormat="1" x14ac:dyDescent="0.3">
      <c r="A42" s="33"/>
      <c r="B42" s="33"/>
      <c r="C42" s="33"/>
      <c r="D42" s="33"/>
    </row>
    <row r="43" spans="1:4" s="7" customFormat="1" x14ac:dyDescent="0.3">
      <c r="A43" s="33"/>
      <c r="B43" s="33"/>
      <c r="C43" s="33"/>
      <c r="D43" s="33"/>
    </row>
    <row r="44" spans="1:4" s="7" customFormat="1" x14ac:dyDescent="0.3">
      <c r="A44" s="33"/>
      <c r="B44" s="33"/>
      <c r="C44" s="33"/>
      <c r="D44" s="33"/>
    </row>
    <row r="45" spans="1:4" s="7" customFormat="1" x14ac:dyDescent="0.3">
      <c r="A45" s="33"/>
      <c r="B45" s="33"/>
      <c r="C45" s="33"/>
      <c r="D45" s="33"/>
    </row>
    <row r="46" spans="1:4" s="7" customFormat="1" x14ac:dyDescent="0.3">
      <c r="A46" s="33"/>
      <c r="B46" s="33"/>
      <c r="C46" s="33"/>
      <c r="D46" s="33"/>
    </row>
    <row r="47" spans="1:4" s="7" customFormat="1" x14ac:dyDescent="0.3">
      <c r="A47" s="33"/>
      <c r="B47" s="33"/>
      <c r="C47" s="33"/>
      <c r="D47" s="33"/>
    </row>
    <row r="48" spans="1:4" s="7" customFormat="1" x14ac:dyDescent="0.3">
      <c r="A48" s="33"/>
      <c r="B48" s="33"/>
      <c r="C48" s="33"/>
      <c r="D48" s="33"/>
    </row>
    <row r="49" spans="1:4" s="7" customFormat="1" x14ac:dyDescent="0.3">
      <c r="A49" s="33"/>
      <c r="B49" s="33"/>
      <c r="C49" s="33"/>
      <c r="D49" s="33"/>
    </row>
    <row r="50" spans="1:4" s="7" customFormat="1" x14ac:dyDescent="0.3">
      <c r="A50" s="33"/>
      <c r="B50" s="33"/>
      <c r="C50" s="33"/>
      <c r="D50" s="33"/>
    </row>
    <row r="51" spans="1:4" s="7" customFormat="1" x14ac:dyDescent="0.3">
      <c r="A51" s="33"/>
      <c r="B51" s="33"/>
      <c r="C51" s="33"/>
      <c r="D51" s="33"/>
    </row>
    <row r="52" spans="1:4" s="7" customFormat="1" x14ac:dyDescent="0.3">
      <c r="A52" s="33"/>
      <c r="B52" s="33"/>
      <c r="C52" s="33"/>
      <c r="D52" s="33"/>
    </row>
    <row r="53" spans="1:4" s="7" customFormat="1" x14ac:dyDescent="0.3">
      <c r="A53" s="33"/>
      <c r="B53" s="33"/>
      <c r="C53" s="33"/>
      <c r="D53" s="33"/>
    </row>
    <row r="54" spans="1:4" s="7" customFormat="1" x14ac:dyDescent="0.3">
      <c r="A54" s="33"/>
      <c r="B54" s="33"/>
      <c r="C54" s="33"/>
      <c r="D54" s="33"/>
    </row>
    <row r="55" spans="1:4" s="7" customFormat="1" x14ac:dyDescent="0.3">
      <c r="A55" s="33"/>
      <c r="B55" s="33"/>
      <c r="C55" s="33"/>
      <c r="D55" s="33"/>
    </row>
    <row r="56" spans="1:4" s="7" customFormat="1" x14ac:dyDescent="0.3">
      <c r="A56" s="33"/>
      <c r="B56" s="33"/>
      <c r="C56" s="33"/>
      <c r="D56" s="33"/>
    </row>
    <row r="57" spans="1:4" s="7" customFormat="1" x14ac:dyDescent="0.3">
      <c r="A57" s="33"/>
      <c r="B57" s="33"/>
      <c r="C57" s="33"/>
      <c r="D57" s="33"/>
    </row>
    <row r="58" spans="1:4" s="7" customFormat="1" x14ac:dyDescent="0.3">
      <c r="A58" s="33"/>
      <c r="B58" s="33"/>
      <c r="C58" s="33"/>
      <c r="D58" s="33"/>
    </row>
    <row r="59" spans="1:4" s="7" customFormat="1" x14ac:dyDescent="0.3">
      <c r="A59" s="33"/>
      <c r="B59" s="33"/>
      <c r="C59" s="33"/>
      <c r="D59" s="33"/>
    </row>
    <row r="60" spans="1:4" s="7" customFormat="1" x14ac:dyDescent="0.3">
      <c r="A60" s="33"/>
      <c r="B60" s="33"/>
      <c r="C60" s="33"/>
      <c r="D60" s="33"/>
    </row>
    <row r="61" spans="1:4" s="7" customFormat="1" x14ac:dyDescent="0.3">
      <c r="A61" s="33"/>
      <c r="B61" s="33"/>
      <c r="C61" s="33"/>
      <c r="D61" s="33"/>
    </row>
    <row r="62" spans="1:4" s="7" customFormat="1" x14ac:dyDescent="0.3">
      <c r="A62" s="33"/>
      <c r="B62" s="33"/>
      <c r="C62" s="33"/>
      <c r="D62" s="33"/>
    </row>
    <row r="63" spans="1:4" s="7" customFormat="1" x14ac:dyDescent="0.3">
      <c r="A63" s="33"/>
      <c r="B63" s="33"/>
      <c r="C63" s="33"/>
      <c r="D63" s="33"/>
    </row>
    <row r="64" spans="1:4" s="7" customFormat="1" x14ac:dyDescent="0.3">
      <c r="A64" s="33"/>
      <c r="B64" s="33"/>
      <c r="C64" s="33"/>
      <c r="D64" s="33"/>
    </row>
    <row r="65" spans="1:4" s="7" customFormat="1" x14ac:dyDescent="0.3">
      <c r="A65" s="33"/>
      <c r="B65" s="33"/>
      <c r="C65" s="33"/>
      <c r="D65" s="33"/>
    </row>
    <row r="66" spans="1:4" s="7" customFormat="1" x14ac:dyDescent="0.3">
      <c r="A66" s="33"/>
      <c r="B66" s="33"/>
      <c r="C66" s="33"/>
      <c r="D66" s="33"/>
    </row>
    <row r="67" spans="1:4" s="7" customFormat="1" x14ac:dyDescent="0.3">
      <c r="A67" s="33"/>
      <c r="B67" s="33"/>
      <c r="C67" s="33"/>
      <c r="D67" s="33"/>
    </row>
    <row r="68" spans="1:4" s="7" customFormat="1" x14ac:dyDescent="0.3">
      <c r="A68" s="33"/>
      <c r="B68" s="33"/>
      <c r="C68" s="33"/>
      <c r="D68" s="33"/>
    </row>
    <row r="69" spans="1:4" s="7" customFormat="1" x14ac:dyDescent="0.3">
      <c r="A69" s="33"/>
      <c r="B69" s="33"/>
      <c r="C69" s="33"/>
      <c r="D69" s="33"/>
    </row>
    <row r="70" spans="1:4" s="7" customFormat="1" x14ac:dyDescent="0.3">
      <c r="A70" s="33"/>
      <c r="B70" s="33"/>
      <c r="C70" s="33"/>
      <c r="D70" s="33"/>
    </row>
    <row r="71" spans="1:4" s="7" customFormat="1" x14ac:dyDescent="0.3">
      <c r="A71" s="33"/>
      <c r="B71" s="33"/>
      <c r="C71" s="33"/>
      <c r="D71" s="33"/>
    </row>
    <row r="72" spans="1:4" s="7" customFormat="1" x14ac:dyDescent="0.3">
      <c r="A72" s="33"/>
      <c r="B72" s="33"/>
      <c r="C72" s="33"/>
      <c r="D72" s="33"/>
    </row>
    <row r="73" spans="1:4" s="7" customFormat="1" x14ac:dyDescent="0.3">
      <c r="A73" s="33"/>
      <c r="B73" s="33"/>
      <c r="C73" s="33"/>
      <c r="D73" s="33"/>
    </row>
    <row r="74" spans="1:4" s="7" customFormat="1" x14ac:dyDescent="0.3">
      <c r="A74" s="33"/>
      <c r="B74" s="33"/>
      <c r="C74" s="33"/>
      <c r="D74" s="33"/>
    </row>
    <row r="75" spans="1:4" s="7" customFormat="1" x14ac:dyDescent="0.3">
      <c r="A75" s="33"/>
      <c r="B75" s="33"/>
      <c r="C75" s="33"/>
      <c r="D75" s="33"/>
    </row>
    <row r="76" spans="1:4" s="7" customFormat="1" x14ac:dyDescent="0.3">
      <c r="A76" s="33"/>
      <c r="B76" s="33"/>
      <c r="C76" s="33"/>
      <c r="D76" s="33"/>
    </row>
    <row r="77" spans="1:4" s="7" customFormat="1" x14ac:dyDescent="0.3">
      <c r="A77" s="33"/>
      <c r="B77" s="33"/>
      <c r="C77" s="33"/>
      <c r="D77" s="33"/>
    </row>
    <row r="78" spans="1:4" s="7" customFormat="1" x14ac:dyDescent="0.3">
      <c r="A78" s="33"/>
      <c r="B78" s="33"/>
      <c r="C78" s="33"/>
      <c r="D78" s="33"/>
    </row>
    <row r="79" spans="1:4" s="7" customFormat="1" x14ac:dyDescent="0.3">
      <c r="A79" s="33"/>
      <c r="B79" s="33"/>
      <c r="C79" s="33"/>
      <c r="D79" s="33"/>
    </row>
    <row r="80" spans="1:4" s="7" customFormat="1" x14ac:dyDescent="0.3">
      <c r="A80" s="33"/>
      <c r="B80" s="33"/>
      <c r="C80" s="33"/>
      <c r="D80" s="33"/>
    </row>
    <row r="81" spans="1:4" s="7" customFormat="1" x14ac:dyDescent="0.3">
      <c r="A81" s="33"/>
      <c r="B81" s="33"/>
      <c r="C81" s="33"/>
      <c r="D81" s="33"/>
    </row>
    <row r="82" spans="1:4" s="7" customFormat="1" x14ac:dyDescent="0.3">
      <c r="A82" s="33"/>
      <c r="B82" s="33"/>
      <c r="C82" s="33"/>
      <c r="D82" s="33"/>
    </row>
    <row r="83" spans="1:4" s="7" customFormat="1" x14ac:dyDescent="0.3">
      <c r="A83" s="33"/>
      <c r="B83" s="33"/>
      <c r="C83" s="33"/>
      <c r="D83" s="33"/>
    </row>
    <row r="84" spans="1:4" s="7" customFormat="1" x14ac:dyDescent="0.3">
      <c r="A84" s="33"/>
      <c r="B84" s="33"/>
      <c r="C84" s="33"/>
      <c r="D84" s="33"/>
    </row>
    <row r="85" spans="1:4" s="7" customFormat="1" x14ac:dyDescent="0.3">
      <c r="A85" s="33"/>
      <c r="B85" s="33"/>
      <c r="C85" s="33"/>
      <c r="D85" s="33"/>
    </row>
    <row r="86" spans="1:4" s="7" customFormat="1" x14ac:dyDescent="0.3">
      <c r="A86" s="33"/>
      <c r="B86" s="33"/>
      <c r="C86" s="33"/>
      <c r="D86" s="33"/>
    </row>
    <row r="87" spans="1:4" s="7" customFormat="1" x14ac:dyDescent="0.3">
      <c r="A87" s="33"/>
      <c r="B87" s="33"/>
      <c r="C87" s="33"/>
      <c r="D87" s="33"/>
    </row>
    <row r="88" spans="1:4" s="7" customFormat="1" x14ac:dyDescent="0.3">
      <c r="A88" s="33"/>
      <c r="B88" s="33"/>
      <c r="C88" s="33"/>
      <c r="D88" s="33"/>
    </row>
    <row r="89" spans="1:4" s="7" customFormat="1" x14ac:dyDescent="0.3">
      <c r="A89" s="33"/>
      <c r="B89" s="33"/>
      <c r="C89" s="33"/>
      <c r="D89" s="33"/>
    </row>
    <row r="90" spans="1:4" s="7" customFormat="1" x14ac:dyDescent="0.3">
      <c r="A90" s="33"/>
      <c r="B90" s="33"/>
      <c r="C90" s="33"/>
      <c r="D90" s="33"/>
    </row>
    <row r="91" spans="1:4" s="7" customFormat="1" x14ac:dyDescent="0.3">
      <c r="A91" s="33"/>
      <c r="B91" s="33"/>
      <c r="C91" s="33"/>
      <c r="D91" s="33"/>
    </row>
    <row r="92" spans="1:4" s="7" customFormat="1" x14ac:dyDescent="0.3">
      <c r="A92" s="33"/>
      <c r="B92" s="33"/>
      <c r="C92" s="33"/>
      <c r="D92" s="33"/>
    </row>
    <row r="93" spans="1:4" s="7" customFormat="1" x14ac:dyDescent="0.3">
      <c r="A93" s="33"/>
      <c r="B93" s="33"/>
      <c r="C93" s="33"/>
      <c r="D93" s="33"/>
    </row>
    <row r="94" spans="1:4" s="7" customFormat="1" x14ac:dyDescent="0.3">
      <c r="A94" s="33"/>
      <c r="B94" s="33"/>
      <c r="C94" s="33"/>
      <c r="D94" s="33"/>
    </row>
    <row r="95" spans="1:4" s="7" customFormat="1" x14ac:dyDescent="0.3">
      <c r="A95" s="33"/>
      <c r="B95" s="33"/>
      <c r="C95" s="33"/>
      <c r="D95" s="33"/>
    </row>
    <row r="96" spans="1:4" s="7" customFormat="1" x14ac:dyDescent="0.3">
      <c r="A96" s="33"/>
      <c r="B96" s="33"/>
      <c r="C96" s="33"/>
      <c r="D96" s="33"/>
    </row>
    <row r="97" spans="1:4" s="7" customFormat="1" x14ac:dyDescent="0.3">
      <c r="A97" s="33"/>
      <c r="B97" s="33"/>
      <c r="C97" s="33"/>
      <c r="D97" s="33"/>
    </row>
    <row r="98" spans="1:4" s="7" customFormat="1" x14ac:dyDescent="0.3">
      <c r="A98" s="33"/>
      <c r="B98" s="33"/>
      <c r="C98" s="33"/>
      <c r="D98" s="33"/>
    </row>
    <row r="99" spans="1:4" s="7" customFormat="1" x14ac:dyDescent="0.3">
      <c r="A99" s="33"/>
      <c r="B99" s="33"/>
      <c r="C99" s="33"/>
      <c r="D99" s="33"/>
    </row>
    <row r="100" spans="1:4" s="7" customFormat="1" x14ac:dyDescent="0.3">
      <c r="A100" s="33"/>
      <c r="B100" s="33"/>
      <c r="C100" s="33"/>
      <c r="D100" s="33"/>
    </row>
    <row r="101" spans="1:4" s="7" customFormat="1" x14ac:dyDescent="0.3">
      <c r="A101" s="33"/>
      <c r="B101" s="33"/>
      <c r="C101" s="33"/>
      <c r="D101" s="33"/>
    </row>
    <row r="102" spans="1:4" s="7" customFormat="1" x14ac:dyDescent="0.3">
      <c r="A102" s="33"/>
      <c r="B102" s="33"/>
      <c r="C102" s="33"/>
      <c r="D102" s="33"/>
    </row>
    <row r="103" spans="1:4" s="7" customFormat="1" x14ac:dyDescent="0.3">
      <c r="A103" s="33"/>
      <c r="B103" s="33"/>
      <c r="C103" s="33"/>
      <c r="D103" s="33"/>
    </row>
    <row r="104" spans="1:4" s="7" customFormat="1" x14ac:dyDescent="0.3">
      <c r="A104" s="33"/>
      <c r="B104" s="33"/>
      <c r="C104" s="33"/>
      <c r="D104" s="33"/>
    </row>
    <row r="105" spans="1:4" s="7" customFormat="1" x14ac:dyDescent="0.3">
      <c r="A105" s="33"/>
      <c r="B105" s="33"/>
      <c r="C105" s="33"/>
      <c r="D105" s="33"/>
    </row>
    <row r="106" spans="1:4" s="7" customFormat="1" x14ac:dyDescent="0.3">
      <c r="A106" s="33"/>
      <c r="B106" s="33"/>
      <c r="C106" s="33"/>
      <c r="D106" s="33"/>
    </row>
    <row r="107" spans="1:4" s="7" customFormat="1" x14ac:dyDescent="0.3">
      <c r="A107" s="33"/>
      <c r="B107" s="33"/>
      <c r="C107" s="33"/>
      <c r="D107" s="33"/>
    </row>
    <row r="108" spans="1:4" s="7" customFormat="1" x14ac:dyDescent="0.3">
      <c r="A108" s="33"/>
      <c r="B108" s="33"/>
      <c r="C108" s="33"/>
      <c r="D108" s="33"/>
    </row>
    <row r="109" spans="1:4" s="7" customFormat="1" x14ac:dyDescent="0.3">
      <c r="A109" s="33"/>
      <c r="B109" s="33"/>
      <c r="C109" s="33"/>
      <c r="D109" s="33"/>
    </row>
    <row r="110" spans="1:4" s="7" customFormat="1" x14ac:dyDescent="0.3">
      <c r="A110" s="33"/>
      <c r="B110" s="33"/>
      <c r="C110" s="33"/>
      <c r="D110" s="33"/>
    </row>
    <row r="111" spans="1:4" s="7" customFormat="1" x14ac:dyDescent="0.3">
      <c r="A111" s="33"/>
      <c r="B111" s="33"/>
      <c r="C111" s="33"/>
      <c r="D111" s="33"/>
    </row>
    <row r="112" spans="1:4" s="7" customFormat="1" x14ac:dyDescent="0.3">
      <c r="A112" s="33"/>
      <c r="B112" s="33"/>
      <c r="C112" s="33"/>
      <c r="D112" s="33"/>
    </row>
    <row r="113" spans="1:4" s="7" customFormat="1" x14ac:dyDescent="0.3">
      <c r="A113" s="33"/>
      <c r="B113" s="33"/>
      <c r="C113" s="33"/>
      <c r="D113" s="33"/>
    </row>
    <row r="114" spans="1:4" s="7" customFormat="1" x14ac:dyDescent="0.3">
      <c r="A114" s="33"/>
      <c r="B114" s="33"/>
      <c r="C114" s="33"/>
      <c r="D114" s="33"/>
    </row>
    <row r="115" spans="1:4" s="7" customFormat="1" x14ac:dyDescent="0.3">
      <c r="A115" s="33"/>
      <c r="B115" s="33"/>
      <c r="C115" s="33"/>
      <c r="D115" s="33"/>
    </row>
    <row r="116" spans="1:4" s="7" customFormat="1" x14ac:dyDescent="0.3">
      <c r="A116" s="33"/>
      <c r="B116" s="33"/>
      <c r="C116" s="33"/>
      <c r="D116" s="33"/>
    </row>
    <row r="117" spans="1:4" s="7" customFormat="1" x14ac:dyDescent="0.3">
      <c r="A117" s="33"/>
      <c r="B117" s="33"/>
      <c r="C117" s="33"/>
      <c r="D117" s="33"/>
    </row>
    <row r="118" spans="1:4" s="7" customFormat="1" x14ac:dyDescent="0.3">
      <c r="A118" s="33"/>
      <c r="B118" s="33"/>
      <c r="C118" s="33"/>
      <c r="D118" s="33"/>
    </row>
    <row r="119" spans="1:4" s="7" customFormat="1" x14ac:dyDescent="0.3">
      <c r="A119" s="33"/>
      <c r="B119" s="33"/>
      <c r="C119" s="33"/>
      <c r="D119" s="33"/>
    </row>
    <row r="120" spans="1:4" s="7" customFormat="1" x14ac:dyDescent="0.3">
      <c r="A120" s="33"/>
      <c r="B120" s="33"/>
      <c r="C120" s="33"/>
      <c r="D120" s="33"/>
    </row>
    <row r="121" spans="1:4" s="7" customFormat="1" x14ac:dyDescent="0.3">
      <c r="A121" s="33"/>
      <c r="B121" s="33"/>
      <c r="C121" s="33"/>
      <c r="D121" s="33"/>
    </row>
    <row r="122" spans="1:4" s="7" customFormat="1" x14ac:dyDescent="0.3">
      <c r="A122" s="33"/>
      <c r="B122" s="33"/>
      <c r="C122" s="33"/>
      <c r="D122" s="33"/>
    </row>
    <row r="123" spans="1:4" s="7" customFormat="1" x14ac:dyDescent="0.3">
      <c r="A123" s="33"/>
      <c r="B123" s="33"/>
      <c r="C123" s="33"/>
      <c r="D123" s="33"/>
    </row>
    <row r="124" spans="1:4" s="7" customFormat="1" x14ac:dyDescent="0.3">
      <c r="A124" s="33"/>
      <c r="B124" s="33"/>
      <c r="C124" s="33"/>
      <c r="D124" s="33"/>
    </row>
    <row r="125" spans="1:4" s="7" customFormat="1" x14ac:dyDescent="0.3">
      <c r="A125" s="33"/>
      <c r="B125" s="33"/>
      <c r="C125" s="33"/>
      <c r="D125" s="33"/>
    </row>
    <row r="126" spans="1:4" s="7" customFormat="1" x14ac:dyDescent="0.3">
      <c r="A126" s="33"/>
      <c r="B126" s="33"/>
      <c r="C126" s="33"/>
      <c r="D126" s="33"/>
    </row>
    <row r="127" spans="1:4" s="7" customFormat="1" x14ac:dyDescent="0.3">
      <c r="A127" s="33"/>
      <c r="B127" s="33"/>
      <c r="C127" s="33"/>
      <c r="D127" s="33"/>
    </row>
    <row r="128" spans="1:4" s="7" customFormat="1" x14ac:dyDescent="0.3">
      <c r="A128" s="33"/>
      <c r="B128" s="33"/>
      <c r="C128" s="33"/>
      <c r="D128" s="33"/>
    </row>
    <row r="129" spans="1:4" s="7" customFormat="1" x14ac:dyDescent="0.3">
      <c r="A129" s="33"/>
      <c r="B129" s="33"/>
      <c r="C129" s="33"/>
      <c r="D129" s="33"/>
    </row>
    <row r="130" spans="1:4" s="7" customFormat="1" x14ac:dyDescent="0.3">
      <c r="A130" s="33"/>
      <c r="B130" s="33"/>
      <c r="C130" s="33"/>
      <c r="D130" s="33"/>
    </row>
    <row r="131" spans="1:4" s="7" customFormat="1" x14ac:dyDescent="0.3">
      <c r="A131" s="33"/>
      <c r="B131" s="33"/>
      <c r="C131" s="33"/>
      <c r="D131" s="33"/>
    </row>
    <row r="132" spans="1:4" s="7" customFormat="1" x14ac:dyDescent="0.3">
      <c r="A132" s="33"/>
      <c r="B132" s="33"/>
      <c r="C132" s="33"/>
      <c r="D132" s="33"/>
    </row>
    <row r="133" spans="1:4" s="7" customFormat="1" x14ac:dyDescent="0.3">
      <c r="A133" s="33"/>
      <c r="B133" s="33"/>
      <c r="C133" s="33"/>
      <c r="D133" s="33"/>
    </row>
    <row r="134" spans="1:4" s="7" customFormat="1" x14ac:dyDescent="0.3">
      <c r="A134" s="33"/>
      <c r="B134" s="33"/>
      <c r="C134" s="33"/>
      <c r="D134" s="33"/>
    </row>
    <row r="135" spans="1:4" s="7" customFormat="1" x14ac:dyDescent="0.3">
      <c r="A135" s="33"/>
      <c r="B135" s="33"/>
      <c r="C135" s="33"/>
      <c r="D135" s="33"/>
    </row>
    <row r="136" spans="1:4" s="7" customFormat="1" x14ac:dyDescent="0.3">
      <c r="A136" s="33"/>
      <c r="B136" s="33"/>
      <c r="C136" s="33"/>
      <c r="D136" s="33"/>
    </row>
    <row r="137" spans="1:4" s="7" customFormat="1" x14ac:dyDescent="0.3">
      <c r="A137" s="33"/>
      <c r="B137" s="33"/>
      <c r="C137" s="33"/>
      <c r="D137" s="33"/>
    </row>
    <row r="138" spans="1:4" s="7" customFormat="1" x14ac:dyDescent="0.3">
      <c r="A138" s="33"/>
      <c r="B138" s="33"/>
      <c r="C138" s="33"/>
      <c r="D138" s="33"/>
    </row>
    <row r="139" spans="1:4" s="7" customFormat="1" x14ac:dyDescent="0.3">
      <c r="A139" s="33"/>
      <c r="B139" s="33"/>
      <c r="C139" s="33"/>
      <c r="D139" s="33"/>
    </row>
    <row r="140" spans="1:4" s="7" customFormat="1" x14ac:dyDescent="0.3">
      <c r="A140" s="33"/>
      <c r="B140" s="33"/>
      <c r="C140" s="33"/>
      <c r="D140" s="33"/>
    </row>
    <row r="141" spans="1:4" s="7" customFormat="1" x14ac:dyDescent="0.3">
      <c r="A141" s="33"/>
      <c r="B141" s="33"/>
      <c r="C141" s="33"/>
      <c r="D141" s="33"/>
    </row>
    <row r="142" spans="1:4" s="7" customFormat="1" x14ac:dyDescent="0.3">
      <c r="A142" s="33"/>
      <c r="B142" s="33"/>
      <c r="C142" s="33"/>
      <c r="D142" s="33"/>
    </row>
    <row r="143" spans="1:4" s="7" customFormat="1" x14ac:dyDescent="0.3">
      <c r="A143" s="33"/>
      <c r="B143" s="33"/>
      <c r="C143" s="33"/>
      <c r="D143" s="33"/>
    </row>
    <row r="144" spans="1:4" s="7" customFormat="1" x14ac:dyDescent="0.3">
      <c r="A144" s="33"/>
      <c r="B144" s="33"/>
      <c r="C144" s="33"/>
      <c r="D144" s="33"/>
    </row>
    <row r="145" spans="1:4" s="7" customFormat="1" x14ac:dyDescent="0.3">
      <c r="A145" s="33"/>
      <c r="B145" s="33"/>
      <c r="C145" s="33"/>
      <c r="D145" s="33"/>
    </row>
    <row r="146" spans="1:4" s="7" customFormat="1" x14ac:dyDescent="0.3">
      <c r="A146" s="33"/>
      <c r="B146" s="33"/>
      <c r="C146" s="33"/>
      <c r="D146" s="33"/>
    </row>
    <row r="147" spans="1:4" s="7" customFormat="1" x14ac:dyDescent="0.3">
      <c r="A147" s="33"/>
      <c r="B147" s="33"/>
      <c r="C147" s="33"/>
      <c r="D147" s="33"/>
    </row>
    <row r="148" spans="1:4" s="7" customFormat="1" x14ac:dyDescent="0.3">
      <c r="A148" s="33"/>
      <c r="B148" s="33"/>
      <c r="C148" s="33"/>
      <c r="D148" s="33"/>
    </row>
    <row r="149" spans="1:4" s="7" customFormat="1" x14ac:dyDescent="0.3">
      <c r="A149" s="33"/>
      <c r="B149" s="33"/>
      <c r="C149" s="33"/>
      <c r="D149" s="33"/>
    </row>
    <row r="150" spans="1:4" s="7" customFormat="1" x14ac:dyDescent="0.3">
      <c r="A150" s="33"/>
      <c r="B150" s="33"/>
      <c r="C150" s="33"/>
      <c r="D150" s="33"/>
    </row>
    <row r="151" spans="1:4" s="7" customFormat="1" x14ac:dyDescent="0.3">
      <c r="A151" s="33"/>
      <c r="B151" s="33"/>
      <c r="C151" s="33"/>
      <c r="D151" s="33"/>
    </row>
    <row r="152" spans="1:4" s="7" customFormat="1" x14ac:dyDescent="0.3">
      <c r="A152" s="33"/>
      <c r="B152" s="33"/>
      <c r="C152" s="33"/>
      <c r="D152" s="33"/>
    </row>
    <row r="153" spans="1:4" s="7" customFormat="1" x14ac:dyDescent="0.3">
      <c r="A153" s="33"/>
      <c r="B153" s="33"/>
      <c r="C153" s="33"/>
      <c r="D153" s="33"/>
    </row>
    <row r="154" spans="1:4" s="7" customFormat="1" x14ac:dyDescent="0.3">
      <c r="A154" s="33"/>
      <c r="B154" s="33"/>
      <c r="C154" s="33"/>
      <c r="D154" s="33"/>
    </row>
    <row r="155" spans="1:4" s="7" customFormat="1" x14ac:dyDescent="0.3">
      <c r="A155" s="33"/>
      <c r="B155" s="33"/>
      <c r="C155" s="33"/>
      <c r="D155" s="33"/>
    </row>
    <row r="156" spans="1:4" s="7" customFormat="1" x14ac:dyDescent="0.3">
      <c r="A156" s="33"/>
      <c r="B156" s="33"/>
      <c r="C156" s="33"/>
      <c r="D156" s="33"/>
    </row>
    <row r="157" spans="1:4" s="7" customFormat="1" x14ac:dyDescent="0.3">
      <c r="A157" s="33"/>
      <c r="B157" s="33"/>
      <c r="C157" s="33"/>
      <c r="D157" s="33"/>
    </row>
    <row r="158" spans="1:4" s="7" customFormat="1" x14ac:dyDescent="0.3">
      <c r="A158" s="33"/>
      <c r="B158" s="33"/>
      <c r="C158" s="33"/>
      <c r="D158" s="33"/>
    </row>
    <row r="159" spans="1:4" s="7" customFormat="1" x14ac:dyDescent="0.3">
      <c r="A159" s="33"/>
      <c r="B159" s="33"/>
      <c r="C159" s="33"/>
      <c r="D159" s="33"/>
    </row>
    <row r="160" spans="1:4" s="7" customFormat="1" x14ac:dyDescent="0.3">
      <c r="A160" s="33"/>
      <c r="B160" s="33"/>
      <c r="C160" s="33"/>
      <c r="D160" s="33"/>
    </row>
    <row r="161" spans="1:4" s="7" customFormat="1" x14ac:dyDescent="0.3">
      <c r="A161" s="33"/>
      <c r="B161" s="33"/>
      <c r="C161" s="33"/>
      <c r="D161" s="33"/>
    </row>
    <row r="162" spans="1:4" s="7" customFormat="1" x14ac:dyDescent="0.3">
      <c r="A162" s="33"/>
      <c r="B162" s="33"/>
      <c r="C162" s="33"/>
      <c r="D162" s="33"/>
    </row>
    <row r="163" spans="1:4" s="7" customFormat="1" x14ac:dyDescent="0.3">
      <c r="A163" s="33"/>
      <c r="B163" s="33"/>
      <c r="C163" s="33"/>
      <c r="D163" s="33"/>
    </row>
    <row r="164" spans="1:4" s="7" customFormat="1" x14ac:dyDescent="0.3">
      <c r="A164" s="33"/>
      <c r="B164" s="33"/>
      <c r="C164" s="33"/>
      <c r="D164" s="33"/>
    </row>
    <row r="165" spans="1:4" s="7" customFormat="1" x14ac:dyDescent="0.3">
      <c r="A165" s="33"/>
      <c r="B165" s="33"/>
      <c r="C165" s="33"/>
      <c r="D165" s="33"/>
    </row>
    <row r="166" spans="1:4" s="7" customFormat="1" x14ac:dyDescent="0.3">
      <c r="A166" s="33"/>
      <c r="B166" s="33"/>
      <c r="C166" s="33"/>
      <c r="D166" s="33"/>
    </row>
    <row r="167" spans="1:4" s="7" customFormat="1" x14ac:dyDescent="0.3">
      <c r="A167" s="33"/>
      <c r="B167" s="33"/>
      <c r="C167" s="33"/>
      <c r="D167" s="33"/>
    </row>
    <row r="168" spans="1:4" s="7" customFormat="1" x14ac:dyDescent="0.3">
      <c r="A168" s="33"/>
      <c r="B168" s="33"/>
      <c r="C168" s="33"/>
      <c r="D168" s="33"/>
    </row>
    <row r="169" spans="1:4" s="7" customFormat="1" x14ac:dyDescent="0.3">
      <c r="A169" s="33"/>
      <c r="B169" s="33"/>
      <c r="C169" s="33"/>
      <c r="D169" s="33"/>
    </row>
    <row r="170" spans="1:4" s="7" customFormat="1" x14ac:dyDescent="0.3">
      <c r="A170" s="33"/>
      <c r="B170" s="33"/>
      <c r="C170" s="33"/>
      <c r="D170" s="33"/>
    </row>
    <row r="171" spans="1:4" s="7" customFormat="1" x14ac:dyDescent="0.3">
      <c r="A171" s="33"/>
      <c r="B171" s="33"/>
      <c r="C171" s="33"/>
      <c r="D171" s="33"/>
    </row>
    <row r="172" spans="1:4" s="7" customFormat="1" x14ac:dyDescent="0.3">
      <c r="A172" s="33"/>
      <c r="B172" s="33"/>
      <c r="C172" s="33"/>
      <c r="D172" s="33"/>
    </row>
    <row r="173" spans="1:4" s="7" customFormat="1" x14ac:dyDescent="0.3">
      <c r="A173" s="33"/>
      <c r="B173" s="33"/>
      <c r="C173" s="33"/>
      <c r="D173" s="33"/>
    </row>
    <row r="174" spans="1:4" s="7" customFormat="1" x14ac:dyDescent="0.3">
      <c r="A174" s="33"/>
      <c r="B174" s="33"/>
      <c r="C174" s="33"/>
      <c r="D174" s="33"/>
    </row>
    <row r="175" spans="1:4" s="7" customFormat="1" x14ac:dyDescent="0.3">
      <c r="A175" s="33"/>
      <c r="B175" s="33"/>
      <c r="C175" s="33"/>
      <c r="D175" s="33"/>
    </row>
    <row r="176" spans="1:4" s="7" customFormat="1" x14ac:dyDescent="0.3">
      <c r="A176" s="33"/>
      <c r="B176" s="33"/>
      <c r="C176" s="33"/>
      <c r="D176" s="33"/>
    </row>
    <row r="177" spans="1:4" s="7" customFormat="1" x14ac:dyDescent="0.3">
      <c r="A177" s="33"/>
      <c r="B177" s="33"/>
      <c r="C177" s="33"/>
      <c r="D177" s="33"/>
    </row>
    <row r="178" spans="1:4" s="7" customFormat="1" x14ac:dyDescent="0.3">
      <c r="A178" s="33"/>
      <c r="B178" s="33"/>
      <c r="C178" s="33"/>
      <c r="D178" s="33"/>
    </row>
    <row r="179" spans="1:4" s="7" customFormat="1" x14ac:dyDescent="0.3">
      <c r="A179" s="33"/>
      <c r="B179" s="33"/>
      <c r="C179" s="33"/>
      <c r="D179" s="33"/>
    </row>
    <row r="180" spans="1:4" s="7" customFormat="1" x14ac:dyDescent="0.3">
      <c r="A180" s="33"/>
      <c r="B180" s="33"/>
      <c r="C180" s="33"/>
      <c r="D180" s="33"/>
    </row>
    <row r="181" spans="1:4" s="7" customFormat="1" x14ac:dyDescent="0.3">
      <c r="A181" s="33"/>
      <c r="B181" s="33"/>
      <c r="C181" s="33"/>
      <c r="D181" s="33"/>
    </row>
    <row r="182" spans="1:4" s="7" customFormat="1" x14ac:dyDescent="0.3">
      <c r="A182" s="33"/>
      <c r="B182" s="33"/>
      <c r="C182" s="33"/>
      <c r="D182" s="33"/>
    </row>
    <row r="183" spans="1:4" s="7" customFormat="1" x14ac:dyDescent="0.3">
      <c r="A183" s="33"/>
      <c r="B183" s="33"/>
      <c r="C183" s="33"/>
      <c r="D183" s="33"/>
    </row>
    <row r="184" spans="1:4" s="7" customFormat="1" x14ac:dyDescent="0.3">
      <c r="A184" s="33"/>
      <c r="B184" s="33"/>
      <c r="C184" s="33"/>
      <c r="D184" s="33"/>
    </row>
    <row r="185" spans="1:4" s="7" customFormat="1" x14ac:dyDescent="0.3">
      <c r="A185" s="33"/>
      <c r="B185" s="33"/>
      <c r="C185" s="33"/>
      <c r="D185" s="33"/>
    </row>
    <row r="186" spans="1:4" s="7" customFormat="1" x14ac:dyDescent="0.3">
      <c r="A186" s="33"/>
      <c r="B186" s="33"/>
      <c r="C186" s="33"/>
      <c r="D186" s="33"/>
    </row>
    <row r="187" spans="1:4" s="7" customFormat="1" x14ac:dyDescent="0.3">
      <c r="A187" s="33"/>
      <c r="B187" s="33"/>
      <c r="C187" s="33"/>
      <c r="D187" s="33"/>
    </row>
    <row r="188" spans="1:4" s="7" customFormat="1" x14ac:dyDescent="0.3">
      <c r="A188" s="33"/>
      <c r="B188" s="33"/>
      <c r="C188" s="33"/>
      <c r="D188" s="33"/>
    </row>
    <row r="189" spans="1:4" s="7" customFormat="1" x14ac:dyDescent="0.3">
      <c r="A189" s="33"/>
      <c r="B189" s="33"/>
      <c r="C189" s="33"/>
      <c r="D189" s="33"/>
    </row>
    <row r="190" spans="1:4" s="7" customFormat="1" x14ac:dyDescent="0.3">
      <c r="A190" s="33"/>
      <c r="B190" s="33"/>
      <c r="C190" s="33"/>
      <c r="D190" s="33"/>
    </row>
    <row r="191" spans="1:4" s="7" customFormat="1" x14ac:dyDescent="0.3">
      <c r="A191" s="33"/>
      <c r="B191" s="33"/>
      <c r="C191" s="33"/>
      <c r="D191" s="33"/>
    </row>
    <row r="192" spans="1:4" s="7" customFormat="1" x14ac:dyDescent="0.3">
      <c r="A192" s="33"/>
      <c r="B192" s="33"/>
      <c r="C192" s="33"/>
      <c r="D192" s="33"/>
    </row>
    <row r="193" spans="1:4" s="7" customFormat="1" x14ac:dyDescent="0.3">
      <c r="A193" s="33"/>
      <c r="B193" s="33"/>
      <c r="C193" s="33"/>
      <c r="D193" s="33"/>
    </row>
    <row r="194" spans="1:4" s="7" customFormat="1" x14ac:dyDescent="0.3">
      <c r="A194" s="33"/>
      <c r="B194" s="33"/>
      <c r="C194" s="33"/>
      <c r="D194" s="33"/>
    </row>
    <row r="195" spans="1:4" s="7" customFormat="1" x14ac:dyDescent="0.3">
      <c r="A195" s="33"/>
      <c r="B195" s="33"/>
      <c r="C195" s="33"/>
      <c r="D195" s="33"/>
    </row>
    <row r="196" spans="1:4" s="7" customFormat="1" x14ac:dyDescent="0.3">
      <c r="A196" s="33"/>
      <c r="B196" s="33"/>
      <c r="C196" s="33"/>
      <c r="D196" s="33"/>
    </row>
    <row r="197" spans="1:4" s="7" customFormat="1" x14ac:dyDescent="0.3">
      <c r="A197" s="33"/>
      <c r="B197" s="33"/>
      <c r="C197" s="33"/>
      <c r="D197" s="33"/>
    </row>
    <row r="198" spans="1:4" s="7" customFormat="1" x14ac:dyDescent="0.3">
      <c r="A198" s="33"/>
      <c r="B198" s="33"/>
      <c r="C198" s="33"/>
      <c r="D198" s="33"/>
    </row>
    <row r="199" spans="1:4" s="7" customFormat="1" x14ac:dyDescent="0.3">
      <c r="A199" s="33"/>
      <c r="B199" s="33"/>
      <c r="C199" s="33"/>
      <c r="D199" s="33"/>
    </row>
    <row r="200" spans="1:4" s="7" customFormat="1" x14ac:dyDescent="0.3">
      <c r="A200" s="33"/>
      <c r="B200" s="33"/>
      <c r="C200" s="33"/>
      <c r="D200" s="33"/>
    </row>
    <row r="201" spans="1:4" s="7" customFormat="1" x14ac:dyDescent="0.3">
      <c r="A201" s="33"/>
      <c r="B201" s="33"/>
      <c r="C201" s="33"/>
      <c r="D201" s="33"/>
    </row>
    <row r="202" spans="1:4" s="7" customFormat="1" x14ac:dyDescent="0.3">
      <c r="A202" s="33"/>
      <c r="B202" s="33"/>
      <c r="C202" s="33"/>
      <c r="D202" s="33"/>
    </row>
    <row r="203" spans="1:4" s="7" customFormat="1" x14ac:dyDescent="0.3">
      <c r="A203" s="33"/>
      <c r="B203" s="33"/>
      <c r="C203" s="33"/>
      <c r="D203" s="33"/>
    </row>
    <row r="204" spans="1:4" s="7" customFormat="1" x14ac:dyDescent="0.3">
      <c r="A204" s="33"/>
      <c r="B204" s="33"/>
      <c r="C204" s="33"/>
      <c r="D204" s="33"/>
    </row>
    <row r="205" spans="1:4" s="7" customFormat="1" x14ac:dyDescent="0.3">
      <c r="A205" s="33"/>
      <c r="B205" s="33"/>
      <c r="C205" s="33"/>
      <c r="D205" s="33"/>
    </row>
    <row r="206" spans="1:4" s="7" customFormat="1" x14ac:dyDescent="0.3">
      <c r="A206" s="33"/>
      <c r="B206" s="33"/>
      <c r="C206" s="33"/>
      <c r="D206" s="33"/>
    </row>
    <row r="207" spans="1:4" s="7" customFormat="1" x14ac:dyDescent="0.3">
      <c r="A207" s="33"/>
      <c r="B207" s="33"/>
      <c r="C207" s="33"/>
      <c r="D207" s="33"/>
    </row>
    <row r="208" spans="1:4" s="7" customFormat="1" x14ac:dyDescent="0.3">
      <c r="A208" s="33"/>
      <c r="B208" s="33"/>
      <c r="C208" s="33"/>
      <c r="D208" s="33"/>
    </row>
    <row r="209" spans="1:4" s="7" customFormat="1" x14ac:dyDescent="0.3">
      <c r="A209" s="33"/>
      <c r="B209" s="33"/>
      <c r="C209" s="33"/>
      <c r="D209" s="33"/>
    </row>
    <row r="210" spans="1:4" s="7" customFormat="1" x14ac:dyDescent="0.3">
      <c r="A210" s="33"/>
      <c r="B210" s="33"/>
      <c r="C210" s="33"/>
      <c r="D210" s="33"/>
    </row>
    <row r="211" spans="1:4" s="7" customFormat="1" x14ac:dyDescent="0.3">
      <c r="A211" s="33"/>
      <c r="B211" s="33"/>
      <c r="C211" s="33"/>
      <c r="D211" s="33"/>
    </row>
    <row r="212" spans="1:4" s="7" customFormat="1" x14ac:dyDescent="0.3">
      <c r="A212" s="33"/>
      <c r="B212" s="33"/>
      <c r="C212" s="33"/>
      <c r="D212" s="33"/>
    </row>
    <row r="213" spans="1:4" s="7" customFormat="1" x14ac:dyDescent="0.3">
      <c r="A213" s="33"/>
      <c r="B213" s="33"/>
      <c r="C213" s="33"/>
      <c r="D213" s="33"/>
    </row>
    <row r="214" spans="1:4" s="7" customFormat="1" x14ac:dyDescent="0.3">
      <c r="A214" s="33"/>
      <c r="B214" s="33"/>
      <c r="C214" s="33"/>
      <c r="D214" s="33"/>
    </row>
    <row r="215" spans="1:4" s="7" customFormat="1" x14ac:dyDescent="0.3">
      <c r="A215" s="33"/>
      <c r="B215" s="33"/>
      <c r="C215" s="33"/>
      <c r="D215" s="33"/>
    </row>
    <row r="216" spans="1:4" s="7" customFormat="1" x14ac:dyDescent="0.3">
      <c r="A216" s="33"/>
      <c r="B216" s="33"/>
      <c r="C216" s="33"/>
      <c r="D216" s="33"/>
    </row>
    <row r="217" spans="1:4" s="7" customFormat="1" x14ac:dyDescent="0.3">
      <c r="A217" s="33"/>
      <c r="B217" s="33"/>
      <c r="C217" s="33"/>
      <c r="D217" s="33"/>
    </row>
    <row r="218" spans="1:4" s="7" customFormat="1" x14ac:dyDescent="0.3">
      <c r="A218" s="33"/>
      <c r="B218" s="33"/>
      <c r="C218" s="33"/>
      <c r="D218" s="33"/>
    </row>
    <row r="219" spans="1:4" s="7" customFormat="1" x14ac:dyDescent="0.3">
      <c r="A219" s="33"/>
      <c r="B219" s="33"/>
      <c r="C219" s="33"/>
      <c r="D219" s="33"/>
    </row>
    <row r="220" spans="1:4" s="7" customFormat="1" x14ac:dyDescent="0.3">
      <c r="A220" s="33"/>
      <c r="B220" s="33"/>
      <c r="C220" s="33"/>
      <c r="D220" s="33"/>
    </row>
    <row r="221" spans="1:4" s="7" customFormat="1" x14ac:dyDescent="0.3">
      <c r="A221" s="33"/>
      <c r="B221" s="33"/>
      <c r="C221" s="33"/>
      <c r="D221" s="33"/>
    </row>
    <row r="222" spans="1:4" s="7" customFormat="1" x14ac:dyDescent="0.3">
      <c r="A222" s="33"/>
      <c r="B222" s="33"/>
      <c r="C222" s="33"/>
      <c r="D222" s="33"/>
    </row>
    <row r="223" spans="1:4" s="7" customFormat="1" x14ac:dyDescent="0.3">
      <c r="A223" s="33"/>
      <c r="B223" s="33"/>
      <c r="C223" s="33"/>
      <c r="D223" s="33"/>
    </row>
    <row r="224" spans="1:4" s="7" customFormat="1" x14ac:dyDescent="0.3">
      <c r="A224" s="33"/>
      <c r="B224" s="33"/>
      <c r="C224" s="33"/>
      <c r="D224" s="33"/>
    </row>
    <row r="225" spans="1:4" s="7" customFormat="1" x14ac:dyDescent="0.3">
      <c r="A225" s="33"/>
      <c r="B225" s="33"/>
      <c r="C225" s="33"/>
      <c r="D225" s="33"/>
    </row>
    <row r="226" spans="1:4" s="7" customFormat="1" x14ac:dyDescent="0.3">
      <c r="A226" s="33"/>
      <c r="B226" s="33"/>
      <c r="C226" s="33"/>
      <c r="D226" s="33"/>
    </row>
    <row r="227" spans="1:4" s="7" customFormat="1" x14ac:dyDescent="0.3">
      <c r="A227" s="33"/>
      <c r="B227" s="33"/>
      <c r="C227" s="33"/>
      <c r="D227" s="33"/>
    </row>
    <row r="228" spans="1:4" s="7" customFormat="1" x14ac:dyDescent="0.3">
      <c r="A228" s="33"/>
      <c r="B228" s="33"/>
      <c r="C228" s="33"/>
      <c r="D228" s="33"/>
    </row>
    <row r="229" spans="1:4" s="7" customFormat="1" x14ac:dyDescent="0.3">
      <c r="A229" s="33"/>
      <c r="B229" s="33"/>
      <c r="C229" s="33"/>
      <c r="D229" s="33"/>
    </row>
    <row r="230" spans="1:4" s="7" customFormat="1" x14ac:dyDescent="0.3">
      <c r="A230" s="33"/>
      <c r="B230" s="33"/>
      <c r="C230" s="33"/>
      <c r="D230" s="33"/>
    </row>
    <row r="231" spans="1:4" s="7" customFormat="1" x14ac:dyDescent="0.3">
      <c r="A231" s="33"/>
      <c r="B231" s="33"/>
      <c r="C231" s="33"/>
      <c r="D231" s="33"/>
    </row>
    <row r="232" spans="1:4" s="7" customFormat="1" x14ac:dyDescent="0.3">
      <c r="A232" s="33"/>
      <c r="B232" s="33"/>
      <c r="C232" s="33"/>
      <c r="D232" s="33"/>
    </row>
    <row r="233" spans="1:4" s="7" customFormat="1" x14ac:dyDescent="0.3">
      <c r="A233" s="33"/>
      <c r="B233" s="33"/>
      <c r="C233" s="33"/>
      <c r="D233" s="33"/>
    </row>
    <row r="234" spans="1:4" s="7" customFormat="1" x14ac:dyDescent="0.3">
      <c r="A234" s="33"/>
      <c r="B234" s="33"/>
      <c r="C234" s="33"/>
      <c r="D234" s="33"/>
    </row>
    <row r="235" spans="1:4" s="7" customFormat="1" x14ac:dyDescent="0.3">
      <c r="A235" s="33"/>
      <c r="B235" s="33"/>
      <c r="C235" s="33"/>
      <c r="D235" s="33"/>
    </row>
    <row r="236" spans="1:4" s="7" customFormat="1" x14ac:dyDescent="0.3">
      <c r="A236" s="33"/>
      <c r="B236" s="33"/>
      <c r="C236" s="33"/>
      <c r="D236" s="33"/>
    </row>
    <row r="237" spans="1:4" s="7" customFormat="1" x14ac:dyDescent="0.3">
      <c r="A237" s="33"/>
      <c r="B237" s="33"/>
      <c r="C237" s="33"/>
      <c r="D237" s="33"/>
    </row>
    <row r="238" spans="1:4" s="7" customFormat="1" x14ac:dyDescent="0.3">
      <c r="A238" s="33"/>
      <c r="B238" s="33"/>
      <c r="C238" s="33"/>
      <c r="D238" s="33"/>
    </row>
    <row r="239" spans="1:4" s="7" customFormat="1" x14ac:dyDescent="0.3">
      <c r="A239" s="33"/>
      <c r="B239" s="33"/>
      <c r="C239" s="33"/>
      <c r="D239" s="33"/>
    </row>
    <row r="240" spans="1:4" s="7" customFormat="1" x14ac:dyDescent="0.3">
      <c r="A240" s="33"/>
      <c r="B240" s="33"/>
      <c r="C240" s="33"/>
      <c r="D240" s="33"/>
    </row>
    <row r="241" spans="1:4" s="7" customFormat="1" x14ac:dyDescent="0.3">
      <c r="A241" s="33"/>
      <c r="B241" s="33"/>
      <c r="C241" s="33"/>
      <c r="D241" s="33"/>
    </row>
    <row r="242" spans="1:4" s="7" customFormat="1" x14ac:dyDescent="0.3">
      <c r="A242" s="33"/>
      <c r="B242" s="33"/>
      <c r="C242" s="33"/>
      <c r="D242" s="33"/>
    </row>
    <row r="243" spans="1:4" s="7" customFormat="1" x14ac:dyDescent="0.3">
      <c r="A243" s="33"/>
      <c r="B243" s="33"/>
      <c r="C243" s="33"/>
      <c r="D243" s="33"/>
    </row>
    <row r="244" spans="1:4" s="7" customFormat="1" x14ac:dyDescent="0.3">
      <c r="A244" s="33"/>
      <c r="B244" s="33"/>
      <c r="C244" s="33"/>
      <c r="D244" s="33"/>
    </row>
    <row r="245" spans="1:4" s="7" customFormat="1" x14ac:dyDescent="0.3">
      <c r="A245" s="33"/>
      <c r="B245" s="33"/>
      <c r="C245" s="33"/>
      <c r="D245" s="33"/>
    </row>
    <row r="246" spans="1:4" s="7" customFormat="1" x14ac:dyDescent="0.3">
      <c r="A246" s="33"/>
      <c r="B246" s="33"/>
      <c r="C246" s="33"/>
      <c r="D246" s="33"/>
    </row>
    <row r="247" spans="1:4" s="7" customFormat="1" x14ac:dyDescent="0.3">
      <c r="A247" s="33"/>
      <c r="B247" s="33"/>
      <c r="C247" s="33"/>
      <c r="D247" s="33"/>
    </row>
    <row r="248" spans="1:4" s="7" customFormat="1" x14ac:dyDescent="0.3">
      <c r="A248" s="33"/>
      <c r="B248" s="33"/>
      <c r="C248" s="33"/>
      <c r="D248" s="33"/>
    </row>
    <row r="249" spans="1:4" s="7" customFormat="1" x14ac:dyDescent="0.3">
      <c r="A249" s="33"/>
      <c r="B249" s="33"/>
      <c r="C249" s="33"/>
      <c r="D249" s="33"/>
    </row>
    <row r="250" spans="1:4" s="7" customFormat="1" x14ac:dyDescent="0.3">
      <c r="A250" s="33"/>
      <c r="B250" s="33"/>
      <c r="C250" s="33"/>
      <c r="D250" s="33"/>
    </row>
    <row r="251" spans="1:4" s="7" customFormat="1" x14ac:dyDescent="0.3">
      <c r="A251" s="33"/>
      <c r="B251" s="33"/>
      <c r="C251" s="33"/>
      <c r="D251" s="33"/>
    </row>
    <row r="252" spans="1:4" s="7" customFormat="1" x14ac:dyDescent="0.3">
      <c r="A252" s="33"/>
      <c r="B252" s="33"/>
      <c r="C252" s="33"/>
      <c r="D252" s="33"/>
    </row>
    <row r="253" spans="1:4" s="7" customFormat="1" x14ac:dyDescent="0.3">
      <c r="A253" s="33"/>
      <c r="B253" s="33"/>
      <c r="C253" s="33"/>
      <c r="D253" s="33"/>
    </row>
    <row r="254" spans="1:4" s="7" customFormat="1" x14ac:dyDescent="0.3">
      <c r="A254" s="33"/>
      <c r="B254" s="33"/>
      <c r="C254" s="33"/>
      <c r="D254" s="33"/>
    </row>
    <row r="255" spans="1:4" s="7" customFormat="1" x14ac:dyDescent="0.3">
      <c r="A255" s="33"/>
      <c r="B255" s="33"/>
      <c r="C255" s="33"/>
      <c r="D255" s="33"/>
    </row>
    <row r="256" spans="1:4" s="7" customFormat="1" x14ac:dyDescent="0.3">
      <c r="A256" s="33"/>
      <c r="B256" s="33"/>
      <c r="C256" s="33"/>
      <c r="D256" s="33"/>
    </row>
    <row r="257" spans="1:4" s="7" customFormat="1" x14ac:dyDescent="0.3">
      <c r="A257" s="33"/>
      <c r="B257" s="33"/>
      <c r="C257" s="33"/>
      <c r="D257" s="33"/>
    </row>
    <row r="258" spans="1:4" s="7" customFormat="1" x14ac:dyDescent="0.3">
      <c r="A258" s="33"/>
      <c r="B258" s="33"/>
      <c r="C258" s="33"/>
      <c r="D258" s="33"/>
    </row>
    <row r="259" spans="1:4" s="7" customFormat="1" x14ac:dyDescent="0.3">
      <c r="A259" s="33"/>
      <c r="B259" s="33"/>
      <c r="C259" s="33"/>
      <c r="D259" s="33"/>
    </row>
    <row r="260" spans="1:4" s="7" customFormat="1" x14ac:dyDescent="0.3">
      <c r="A260" s="33"/>
      <c r="B260" s="33"/>
      <c r="C260" s="33"/>
      <c r="D260" s="33"/>
    </row>
    <row r="261" spans="1:4" s="7" customFormat="1" x14ac:dyDescent="0.3">
      <c r="A261" s="33"/>
      <c r="B261" s="33"/>
      <c r="C261" s="33"/>
      <c r="D261" s="33"/>
    </row>
    <row r="262" spans="1:4" s="7" customFormat="1" x14ac:dyDescent="0.3">
      <c r="A262" s="33"/>
      <c r="B262" s="33"/>
      <c r="C262" s="33"/>
      <c r="D262" s="33"/>
    </row>
    <row r="263" spans="1:4" s="7" customFormat="1" x14ac:dyDescent="0.3">
      <c r="A263" s="33"/>
      <c r="B263" s="33"/>
      <c r="C263" s="33"/>
      <c r="D263" s="33"/>
    </row>
    <row r="264" spans="1:4" s="7" customFormat="1" x14ac:dyDescent="0.3">
      <c r="A264" s="33"/>
      <c r="B264" s="33"/>
      <c r="C264" s="33"/>
      <c r="D264" s="33"/>
    </row>
    <row r="265" spans="1:4" s="7" customFormat="1" x14ac:dyDescent="0.3">
      <c r="A265" s="33"/>
      <c r="B265" s="33"/>
      <c r="C265" s="33"/>
      <c r="D265" s="33"/>
    </row>
    <row r="266" spans="1:4" s="7" customFormat="1" x14ac:dyDescent="0.3">
      <c r="A266" s="33"/>
      <c r="B266" s="33"/>
      <c r="C266" s="33"/>
      <c r="D266" s="33"/>
    </row>
    <row r="267" spans="1:4" s="7" customFormat="1" x14ac:dyDescent="0.3">
      <c r="A267" s="33"/>
      <c r="B267" s="33"/>
      <c r="C267" s="33"/>
      <c r="D267" s="33"/>
    </row>
    <row r="268" spans="1:4" s="7" customFormat="1" x14ac:dyDescent="0.3">
      <c r="A268" s="33"/>
      <c r="B268" s="33"/>
      <c r="C268" s="33"/>
      <c r="D268" s="33"/>
    </row>
    <row r="269" spans="1:4" s="7" customFormat="1" x14ac:dyDescent="0.3">
      <c r="A269" s="33"/>
      <c r="B269" s="33"/>
      <c r="C269" s="33"/>
      <c r="D269" s="33"/>
    </row>
    <row r="270" spans="1:4" s="7" customFormat="1" x14ac:dyDescent="0.3">
      <c r="A270" s="33"/>
      <c r="B270" s="33"/>
      <c r="C270" s="33"/>
      <c r="D270" s="33"/>
    </row>
    <row r="271" spans="1:4" s="7" customFormat="1" x14ac:dyDescent="0.3">
      <c r="A271" s="33"/>
      <c r="B271" s="33"/>
      <c r="C271" s="33"/>
      <c r="D271" s="33"/>
    </row>
    <row r="272" spans="1:4" s="7" customFormat="1" x14ac:dyDescent="0.3">
      <c r="A272" s="33"/>
      <c r="B272" s="33"/>
      <c r="C272" s="33"/>
      <c r="D272" s="33"/>
    </row>
    <row r="273" spans="1:4" s="7" customFormat="1" x14ac:dyDescent="0.3">
      <c r="A273" s="33"/>
      <c r="B273" s="33"/>
      <c r="C273" s="33"/>
      <c r="D273" s="33"/>
    </row>
    <row r="274" spans="1:4" s="7" customFormat="1" x14ac:dyDescent="0.3">
      <c r="A274" s="33"/>
      <c r="B274" s="33"/>
      <c r="C274" s="33"/>
      <c r="D274" s="33"/>
    </row>
    <row r="275" spans="1:4" s="7" customFormat="1" x14ac:dyDescent="0.3">
      <c r="A275" s="33"/>
      <c r="B275" s="33"/>
      <c r="C275" s="33"/>
      <c r="D275" s="33"/>
    </row>
    <row r="276" spans="1:4" s="7" customFormat="1" x14ac:dyDescent="0.3">
      <c r="A276" s="33"/>
      <c r="B276" s="33"/>
      <c r="C276" s="33"/>
      <c r="D276" s="33"/>
    </row>
    <row r="277" spans="1:4" s="7" customFormat="1" x14ac:dyDescent="0.3">
      <c r="A277" s="33"/>
      <c r="B277" s="33"/>
      <c r="C277" s="33"/>
      <c r="D277" s="33"/>
    </row>
    <row r="278" spans="1:4" s="7" customFormat="1" x14ac:dyDescent="0.3">
      <c r="A278" s="33"/>
      <c r="B278" s="33"/>
      <c r="C278" s="33"/>
      <c r="D278" s="33"/>
    </row>
    <row r="279" spans="1:4" s="7" customFormat="1" x14ac:dyDescent="0.3">
      <c r="A279" s="33"/>
      <c r="B279" s="33"/>
      <c r="C279" s="33"/>
      <c r="D279" s="33"/>
    </row>
    <row r="280" spans="1:4" s="7" customFormat="1" x14ac:dyDescent="0.3">
      <c r="A280" s="33"/>
      <c r="B280" s="33"/>
      <c r="C280" s="33"/>
      <c r="D280" s="33"/>
    </row>
    <row r="281" spans="1:4" s="7" customFormat="1" x14ac:dyDescent="0.3">
      <c r="A281" s="33"/>
      <c r="B281" s="33"/>
      <c r="C281" s="33"/>
      <c r="D281" s="33"/>
    </row>
    <row r="282" spans="1:4" s="7" customFormat="1" x14ac:dyDescent="0.3">
      <c r="A282" s="33"/>
      <c r="B282" s="33"/>
      <c r="C282" s="33"/>
      <c r="D282" s="33"/>
    </row>
    <row r="283" spans="1:4" s="7" customFormat="1" x14ac:dyDescent="0.3">
      <c r="A283" s="33"/>
      <c r="B283" s="33"/>
      <c r="C283" s="33"/>
      <c r="D283" s="33"/>
    </row>
    <row r="284" spans="1:4" s="7" customFormat="1" x14ac:dyDescent="0.3">
      <c r="A284" s="33"/>
      <c r="B284" s="33"/>
      <c r="C284" s="33"/>
      <c r="D284" s="33"/>
    </row>
    <row r="285" spans="1:4" s="7" customFormat="1" x14ac:dyDescent="0.3">
      <c r="A285" s="33"/>
      <c r="B285" s="33"/>
      <c r="C285" s="33"/>
      <c r="D285" s="33"/>
    </row>
    <row r="286" spans="1:4" s="7" customFormat="1" x14ac:dyDescent="0.3">
      <c r="A286" s="33"/>
      <c r="B286" s="33"/>
      <c r="C286" s="33"/>
      <c r="D286" s="33"/>
    </row>
    <row r="287" spans="1:4" s="7" customFormat="1" x14ac:dyDescent="0.3">
      <c r="A287" s="33"/>
      <c r="B287" s="33"/>
      <c r="C287" s="33"/>
      <c r="D287" s="33"/>
    </row>
    <row r="288" spans="1:4" s="7" customFormat="1" x14ac:dyDescent="0.3">
      <c r="A288" s="33"/>
      <c r="B288" s="33"/>
      <c r="C288" s="33"/>
      <c r="D288" s="33"/>
    </row>
    <row r="289" spans="1:4" s="7" customFormat="1" x14ac:dyDescent="0.3">
      <c r="A289" s="33"/>
      <c r="B289" s="33"/>
      <c r="C289" s="33"/>
      <c r="D289" s="33"/>
    </row>
    <row r="290" spans="1:4" s="7" customFormat="1" x14ac:dyDescent="0.3">
      <c r="A290" s="33"/>
      <c r="B290" s="33"/>
      <c r="C290" s="33"/>
      <c r="D290" s="33"/>
    </row>
    <row r="291" spans="1:4" s="7" customFormat="1" x14ac:dyDescent="0.3">
      <c r="A291" s="33"/>
      <c r="B291" s="33"/>
      <c r="C291" s="33"/>
      <c r="D291" s="33"/>
    </row>
    <row r="292" spans="1:4" s="7" customFormat="1" x14ac:dyDescent="0.3">
      <c r="A292" s="33"/>
      <c r="B292" s="33"/>
      <c r="C292" s="33"/>
      <c r="D292" s="33"/>
    </row>
    <row r="293" spans="1:4" s="7" customFormat="1" x14ac:dyDescent="0.3">
      <c r="A293" s="33"/>
      <c r="B293" s="33"/>
      <c r="C293" s="33"/>
      <c r="D293" s="33"/>
    </row>
    <row r="294" spans="1:4" s="7" customFormat="1" x14ac:dyDescent="0.3">
      <c r="A294" s="33"/>
      <c r="B294" s="33"/>
      <c r="C294" s="33"/>
      <c r="D294" s="33"/>
    </row>
    <row r="295" spans="1:4" s="7" customFormat="1" x14ac:dyDescent="0.3">
      <c r="A295" s="33"/>
      <c r="B295" s="33"/>
      <c r="C295" s="33"/>
      <c r="D295" s="33"/>
    </row>
    <row r="296" spans="1:4" s="7" customFormat="1" x14ac:dyDescent="0.3">
      <c r="A296" s="33"/>
      <c r="B296" s="33"/>
      <c r="C296" s="33"/>
      <c r="D296" s="33"/>
    </row>
    <row r="297" spans="1:4" s="7" customFormat="1" x14ac:dyDescent="0.3">
      <c r="A297" s="33"/>
      <c r="B297" s="33"/>
      <c r="C297" s="33"/>
      <c r="D297" s="33"/>
    </row>
    <row r="298" spans="1:4" s="7" customFormat="1" x14ac:dyDescent="0.3">
      <c r="A298" s="33"/>
      <c r="B298" s="33"/>
      <c r="C298" s="33"/>
      <c r="D298" s="33"/>
    </row>
    <row r="299" spans="1:4" s="7" customFormat="1" x14ac:dyDescent="0.3">
      <c r="A299" s="33"/>
      <c r="B299" s="33"/>
      <c r="C299" s="33"/>
      <c r="D299" s="33"/>
    </row>
    <row r="300" spans="1:4" s="7" customFormat="1" x14ac:dyDescent="0.3">
      <c r="A300" s="33"/>
      <c r="B300" s="33"/>
      <c r="C300" s="33"/>
      <c r="D300" s="3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Matinaga</cp:lastModifiedBy>
  <dcterms:created xsi:type="dcterms:W3CDTF">2024-12-19T13:13:10Z</dcterms:created>
  <dcterms:modified xsi:type="dcterms:W3CDTF">2026-03-23T12:54:49Z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